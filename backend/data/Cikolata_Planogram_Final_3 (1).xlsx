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erke/Downloads/"/>
    </mc:Choice>
  </mc:AlternateContent>
  <xr:revisionPtr revIDLastSave="0" documentId="13_ncr:1_{8FECEC3F-8158-9145-B6C6-CC4D0392FAC0}" xr6:coauthVersionLast="47" xr6:coauthVersionMax="47" xr10:uidLastSave="{00000000-0000-0000-0000-000000000000}"/>
  <bookViews>
    <workbookView xWindow="15320" yWindow="660" windowWidth="14920" windowHeight="18980" tabRatio="500" activeTab="1" xr2:uid="{00000000-000D-0000-FFFF-FFFF00000000}"/>
  </bookViews>
  <sheets>
    <sheet name="Veri_Skor" sheetId="1" r:id="rId1"/>
    <sheet name="DB" sheetId="11" r:id="rId2"/>
    <sheet name="2016 Ihlamur" sheetId="5" r:id="rId3"/>
    <sheet name="4161 Bulgurlu" sheetId="6" r:id="rId4"/>
    <sheet name="6198 Ataşehir Gümrük" sheetId="7" r:id="rId5"/>
    <sheet name="6203 Odayeri OHT" sheetId="8" r:id="rId6"/>
    <sheet name="6240 Acıbadem" sheetId="9" r:id="rId7"/>
    <sheet name="İstasyon Özet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2" i="1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8" i="1"/>
  <c r="R87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S74" i="1" s="1"/>
  <c r="C69" i="5" s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" i="1"/>
  <c r="K5" i="1"/>
  <c r="G8" i="10"/>
  <c r="F8" i="10"/>
  <c r="E8" i="10"/>
  <c r="D8" i="10"/>
  <c r="C8" i="10"/>
  <c r="L84" i="9"/>
  <c r="K84" i="9"/>
  <c r="J84" i="9"/>
  <c r="I84" i="9"/>
  <c r="H84" i="9"/>
  <c r="G84" i="9"/>
  <c r="L84" i="8"/>
  <c r="K84" i="8"/>
  <c r="J84" i="8"/>
  <c r="I84" i="8"/>
  <c r="H84" i="8"/>
  <c r="G84" i="8"/>
  <c r="L84" i="7"/>
  <c r="K84" i="7"/>
  <c r="J84" i="7"/>
  <c r="I84" i="7"/>
  <c r="H84" i="7"/>
  <c r="G84" i="7"/>
  <c r="L84" i="6"/>
  <c r="K84" i="6"/>
  <c r="J84" i="6"/>
  <c r="I84" i="6"/>
  <c r="H84" i="6"/>
  <c r="G84" i="6"/>
  <c r="L84" i="5"/>
  <c r="K84" i="5"/>
  <c r="J84" i="5"/>
  <c r="I84" i="5"/>
  <c r="H84" i="5"/>
  <c r="G84" i="5"/>
  <c r="S76" i="1" l="1"/>
  <c r="C71" i="5" s="1"/>
  <c r="S75" i="1"/>
  <c r="C70" i="5" s="1"/>
  <c r="S14" i="1"/>
  <c r="C9" i="5" s="1"/>
  <c r="S19" i="1"/>
  <c r="C14" i="5" s="1"/>
  <c r="S9" i="1"/>
  <c r="C4" i="5" s="1"/>
  <c r="S10" i="1"/>
  <c r="C5" i="5" s="1"/>
  <c r="S11" i="1"/>
  <c r="C6" i="5" s="1"/>
  <c r="S12" i="1"/>
  <c r="C7" i="5" s="1"/>
  <c r="S13" i="1"/>
  <c r="C8" i="5" s="1"/>
  <c r="S73" i="1"/>
  <c r="C68" i="5" s="1"/>
  <c r="S17" i="1"/>
  <c r="C12" i="5" s="1"/>
  <c r="S21" i="1"/>
  <c r="C16" i="5" s="1"/>
  <c r="S15" i="1"/>
  <c r="C10" i="5" s="1"/>
  <c r="S16" i="1"/>
  <c r="C11" i="5" s="1"/>
  <c r="S20" i="1"/>
  <c r="C15" i="5" s="1"/>
  <c r="S23" i="1"/>
  <c r="C18" i="5" s="1"/>
  <c r="S24" i="1"/>
  <c r="C19" i="5" s="1"/>
  <c r="S25" i="1"/>
  <c r="C20" i="5" s="1"/>
  <c r="S26" i="1"/>
  <c r="C21" i="5" s="1"/>
  <c r="S27" i="1"/>
  <c r="C22" i="5" s="1"/>
  <c r="S29" i="1"/>
  <c r="C24" i="5" s="1"/>
  <c r="S30" i="1"/>
  <c r="C25" i="5" s="1"/>
  <c r="S31" i="1"/>
  <c r="C26" i="5" s="1"/>
  <c r="S34" i="1"/>
  <c r="C29" i="5" s="1"/>
  <c r="S35" i="1"/>
  <c r="C30" i="5" s="1"/>
  <c r="S36" i="1"/>
  <c r="C31" i="5" s="1"/>
  <c r="S37" i="1"/>
  <c r="C32" i="5" s="1"/>
  <c r="S38" i="1"/>
  <c r="C33" i="5" s="1"/>
  <c r="S40" i="1"/>
  <c r="C35" i="5" s="1"/>
  <c r="S41" i="1"/>
  <c r="C36" i="5" s="1"/>
  <c r="S42" i="1"/>
  <c r="C37" i="5" s="1"/>
  <c r="S43" i="1"/>
  <c r="C38" i="5" s="1"/>
  <c r="S44" i="1"/>
  <c r="C39" i="5" s="1"/>
  <c r="S45" i="1"/>
  <c r="C40" i="5" s="1"/>
  <c r="S46" i="1"/>
  <c r="C41" i="5" s="1"/>
  <c r="S47" i="1"/>
  <c r="C42" i="5" s="1"/>
  <c r="S48" i="1"/>
  <c r="C43" i="5" s="1"/>
  <c r="S49" i="1"/>
  <c r="C44" i="5" s="1"/>
  <c r="S50" i="1"/>
  <c r="C45" i="5" s="1"/>
  <c r="S51" i="1"/>
  <c r="C46" i="5" s="1"/>
  <c r="S71" i="1"/>
  <c r="C66" i="5" s="1"/>
  <c r="S72" i="1"/>
  <c r="C67" i="5" s="1"/>
  <c r="S18" i="1"/>
  <c r="C13" i="5" s="1"/>
  <c r="S32" i="1"/>
  <c r="C27" i="5" s="1"/>
  <c r="S33" i="1"/>
  <c r="C28" i="5" s="1"/>
  <c r="S39" i="1"/>
  <c r="C34" i="5" s="1"/>
  <c r="S22" i="1"/>
  <c r="C17" i="5" s="1"/>
  <c r="S77" i="1"/>
  <c r="C72" i="5" s="1"/>
  <c r="S78" i="1"/>
  <c r="C73" i="5" s="1"/>
  <c r="S79" i="1"/>
  <c r="C74" i="5" s="1"/>
  <c r="S28" i="1"/>
  <c r="C23" i="5" s="1"/>
  <c r="S80" i="1"/>
  <c r="C75" i="5" s="1"/>
  <c r="S81" i="1"/>
  <c r="C76" i="5" s="1"/>
  <c r="S82" i="1"/>
  <c r="C77" i="5" s="1"/>
  <c r="S83" i="1"/>
  <c r="C78" i="5" s="1"/>
  <c r="S84" i="1"/>
  <c r="C79" i="5" s="1"/>
  <c r="S86" i="1"/>
  <c r="C81" i="5" s="1"/>
  <c r="S85" i="1"/>
  <c r="C80" i="5" s="1"/>
  <c r="S52" i="1"/>
  <c r="C47" i="5" s="1"/>
  <c r="S53" i="1"/>
  <c r="C48" i="5" s="1"/>
  <c r="S54" i="1"/>
  <c r="C49" i="5" s="1"/>
  <c r="S55" i="1"/>
  <c r="C50" i="5" s="1"/>
  <c r="S56" i="1"/>
  <c r="C51" i="5" s="1"/>
  <c r="S57" i="1"/>
  <c r="C52" i="5" s="1"/>
  <c r="S58" i="1"/>
  <c r="C53" i="5" s="1"/>
  <c r="S59" i="1"/>
  <c r="C54" i="5" s="1"/>
  <c r="S60" i="1"/>
  <c r="C55" i="5" s="1"/>
  <c r="S61" i="1"/>
  <c r="C56" i="5" s="1"/>
  <c r="S62" i="1"/>
  <c r="C57" i="5" s="1"/>
  <c r="S63" i="1"/>
  <c r="C58" i="5" s="1"/>
  <c r="S64" i="1"/>
  <c r="C59" i="5" s="1"/>
  <c r="S65" i="1"/>
  <c r="C60" i="5" s="1"/>
  <c r="S66" i="1"/>
  <c r="C61" i="5" s="1"/>
  <c r="S67" i="1"/>
  <c r="C62" i="5" s="1"/>
  <c r="S68" i="1"/>
  <c r="C63" i="5" s="1"/>
  <c r="S69" i="1"/>
  <c r="C64" i="5" s="1"/>
  <c r="S70" i="1"/>
  <c r="C65" i="5" s="1"/>
  <c r="S8" i="1"/>
  <c r="C3" i="5" s="1"/>
  <c r="S87" i="1"/>
  <c r="S88" i="1"/>
  <c r="C83" i="5" l="1"/>
  <c r="C83" i="8"/>
  <c r="C83" i="6"/>
  <c r="C83" i="7"/>
  <c r="C83" i="9"/>
  <c r="C82" i="5"/>
  <c r="C82" i="8"/>
  <c r="C82" i="6"/>
  <c r="C82" i="7"/>
  <c r="C82" i="9"/>
</calcChain>
</file>

<file path=xl/sharedStrings.xml><?xml version="1.0" encoding="utf-8"?>
<sst xmlns="http://schemas.openxmlformats.org/spreadsheetml/2006/main" count="1765" uniqueCount="240">
  <si>
    <t>ÇİKOLATA PLANOGRAM — ÇALIŞMA VERİSİ ve SKOR</t>
  </si>
  <si>
    <t>AĞIRLIKLAR (değiştirilebilir, toplam=1):</t>
  </si>
  <si>
    <t>Satış</t>
  </si>
  <si>
    <t>Ciro Payı</t>
  </si>
  <si>
    <t>Nielsen GasSt</t>
  </si>
  <si>
    <t>Nielsen SPM</t>
  </si>
  <si>
    <t>TOPLAM</t>
  </si>
  <si>
    <t>Ürün ID</t>
  </si>
  <si>
    <t>SKU</t>
  </si>
  <si>
    <t>Alt Kategori</t>
  </si>
  <si>
    <t>Genişlik (cm)</t>
  </si>
  <si>
    <t>Satış adeti</t>
  </si>
  <si>
    <t>Net Birim Kâr</t>
  </si>
  <si>
    <t>C2</t>
  </si>
  <si>
    <t>Satış payı</t>
  </si>
  <si>
    <t>Kâr payı</t>
  </si>
  <si>
    <t>C2 payı</t>
  </si>
  <si>
    <t>CiroP payı</t>
  </si>
  <si>
    <t>GasSt payı</t>
  </si>
  <si>
    <t>SPM payı</t>
  </si>
  <si>
    <t>SKOR (x1000)</t>
  </si>
  <si>
    <t>Max Facing</t>
  </si>
  <si>
    <t>Mevcut önyüz</t>
  </si>
  <si>
    <t>Min Facing</t>
  </si>
  <si>
    <t>Ürün Tipi</t>
  </si>
  <si>
    <t>1060269341</t>
  </si>
  <si>
    <t>ÜLKER ÇİKOLATALI GOFRET 36 GR</t>
  </si>
  <si>
    <t>Chocolate</t>
  </si>
  <si>
    <t>Mevcut</t>
  </si>
  <si>
    <t>1110768239</t>
  </si>
  <si>
    <t>TADELLE KİNG SİZE 52 GR.</t>
  </si>
  <si>
    <t>1142203221</t>
  </si>
  <si>
    <t>KAHVE DÜNYASI GOFRİK SÜTLÜ</t>
  </si>
  <si>
    <t>1415162484</t>
  </si>
  <si>
    <t>TADELLE FINDIK SÜTLÜ ÇİKOLATA 30 GR.</t>
  </si>
  <si>
    <t>1664693043</t>
  </si>
  <si>
    <t>ETİ KARAM GOFRET</t>
  </si>
  <si>
    <t>2030509027</t>
  </si>
  <si>
    <t>ULKER DIDO 35 GR. (X 24)</t>
  </si>
  <si>
    <t>2064454438</t>
  </si>
  <si>
    <t>ETİ CANGA 45gr</t>
  </si>
  <si>
    <t>2155500563</t>
  </si>
  <si>
    <t>ÜLKER ALBENİ</t>
  </si>
  <si>
    <t>2461983573</t>
  </si>
  <si>
    <t>ÜLKER ÇOKONAT</t>
  </si>
  <si>
    <t>2766566614</t>
  </si>
  <si>
    <t>ETİ BOL ANTEP FISTIKLI ÇİKOLATA BATON</t>
  </si>
  <si>
    <t>2813410345</t>
  </si>
  <si>
    <t>SNICKERS 50 GR.</t>
  </si>
  <si>
    <t>2860007896</t>
  </si>
  <si>
    <t>ETİ ÇİKOLATALI GOFRET HOŞBEŞ ÇITIRLIĞI</t>
  </si>
  <si>
    <t>2931252818</t>
  </si>
  <si>
    <t>ÜLKER ÇİKOLATA KADAYIF DUBAİ LEZ. 93GR</t>
  </si>
  <si>
    <t>2964723331</t>
  </si>
  <si>
    <t>KINDER BUENO T.2 44 GR.</t>
  </si>
  <si>
    <t>3018807828</t>
  </si>
  <si>
    <t>ÜLKER COCO STAR 36GR</t>
  </si>
  <si>
    <t>3231723970</t>
  </si>
  <si>
    <t>SNICKERS 2 PACK 80gr</t>
  </si>
  <si>
    <t>3525159540</t>
  </si>
  <si>
    <t>ÜLKER ÇİKOLATA GOFRET MAXİ 47GR</t>
  </si>
  <si>
    <t>3637987308</t>
  </si>
  <si>
    <t>ULKER ANTEP FISTIKLI 70 GR. (X 6)</t>
  </si>
  <si>
    <t>3667495386</t>
  </si>
  <si>
    <t>ÜLKER NAPOLİTEN SÜTLÜ 33 GR</t>
  </si>
  <si>
    <t>3871421313</t>
  </si>
  <si>
    <t>NESTLE DAMAK ALA GOFRE 30GR</t>
  </si>
  <si>
    <t>4409218794</t>
  </si>
  <si>
    <t>KINDER BUENO WHITE</t>
  </si>
  <si>
    <t>4457185027</t>
  </si>
  <si>
    <t>ÜLKER CARAMIO KARAMELLİ BAT.ÇİKOLATA 32G</t>
  </si>
  <si>
    <t>4470312068</t>
  </si>
  <si>
    <t>KINDER JOY T1 KIZ*24</t>
  </si>
  <si>
    <t>4507963309</t>
  </si>
  <si>
    <t>ÜLKER METRO 36GR</t>
  </si>
  <si>
    <t>4805002643</t>
  </si>
  <si>
    <t>ULKER SUTLU 60 GR.</t>
  </si>
  <si>
    <t>4812946371</t>
  </si>
  <si>
    <t>KINDER CHOCOLATE T4 50 GR.</t>
  </si>
  <si>
    <t>4896678781</t>
  </si>
  <si>
    <t>ETİ AHENK GURME</t>
  </si>
  <si>
    <t>4957854121</t>
  </si>
  <si>
    <t>KAHVE DÜNYASI GOFRİK BİTTER</t>
  </si>
  <si>
    <t>5016034588</t>
  </si>
  <si>
    <t>KINDER JOY T1 ERKEK *24</t>
  </si>
  <si>
    <t>5145795381</t>
  </si>
  <si>
    <t>ULKER ANTEP FISTIKLI SUTLU 30 GR.</t>
  </si>
  <si>
    <t>5295886288</t>
  </si>
  <si>
    <t>ETİ MAXIMUS LOADING 50GR.</t>
  </si>
  <si>
    <t>5657605176</t>
  </si>
  <si>
    <t>ETİ ANTEP FISTIKLI ÇİKOLATA KARE 60 GR</t>
  </si>
  <si>
    <t>5717480361</t>
  </si>
  <si>
    <t>ÜLKER ÇİKOLATALI GOFRET BİTTER 36GRx24</t>
  </si>
  <si>
    <t>5750809102</t>
  </si>
  <si>
    <t>ÜLKER ÇOKONAT ANTEP FISTIKLI 30GR</t>
  </si>
  <si>
    <t>5770577141</t>
  </si>
  <si>
    <t>NESTLE DAMAK KARE 60 GR.</t>
  </si>
  <si>
    <t>5795107404</t>
  </si>
  <si>
    <t>KAHVE DÜNYASI FRUTİBON ÇİLEK  50GR</t>
  </si>
  <si>
    <t>5806583321</t>
  </si>
  <si>
    <t>ETİ ANTEP FISTIKLI ÇİKOLATA UZUN</t>
  </si>
  <si>
    <t>5816259704</t>
  </si>
  <si>
    <t>SARELLE DUO GOFRET 33 GR</t>
  </si>
  <si>
    <t>6139774956</t>
  </si>
  <si>
    <t>KAHVE DÜNYASI SÜTLÜ ANTEP FISTIKLI DRAJE 60GR</t>
  </si>
  <si>
    <t>6197875328</t>
  </si>
  <si>
    <t>ETİ KARAM %70 KAKAOLU</t>
  </si>
  <si>
    <t>6252434352</t>
  </si>
  <si>
    <t>NUTTY MAX ANTEP FISTIKLI 44GR</t>
  </si>
  <si>
    <t>6375207868</t>
  </si>
  <si>
    <t>NESTLE DAMAK BAKLAVA KARE 60GR</t>
  </si>
  <si>
    <t>6549621184</t>
  </si>
  <si>
    <t>TWIX CLASSIC 50 GR.</t>
  </si>
  <si>
    <t>6599227394</t>
  </si>
  <si>
    <t>ÜLKER ÇİKOLATA BİTTER %60 KARE</t>
  </si>
  <si>
    <t>6654999207</t>
  </si>
  <si>
    <t>NESTLE DAMAK DRAJE 50Gr</t>
  </si>
  <si>
    <t>6739875326</t>
  </si>
  <si>
    <t>NESTLE KİTKAT 42 GR.</t>
  </si>
  <si>
    <t>6856369309</t>
  </si>
  <si>
    <t>ÜLKER ÇİKOLATA BİTTER FISTIKLI KARE 65 GR</t>
  </si>
  <si>
    <t>7064661963</t>
  </si>
  <si>
    <t>TADELLE MAXINUT</t>
  </si>
  <si>
    <t>7380470856</t>
  </si>
  <si>
    <t>ULKER SUTLU 30 GR.</t>
  </si>
  <si>
    <t>7397429079</t>
  </si>
  <si>
    <t>KAHVE DÜNYASI SÜTLÜ FINDIK DRAJE 60GR</t>
  </si>
  <si>
    <t>7403928141</t>
  </si>
  <si>
    <t>KAHVE DÜNYASI SÜTLÜ BADEM DRAJE 60GR</t>
  </si>
  <si>
    <t>7435668134</t>
  </si>
  <si>
    <t>ETİ MAXİMUS 40 GR.</t>
  </si>
  <si>
    <t>7462729157</t>
  </si>
  <si>
    <t>MARS 51 GR.</t>
  </si>
  <si>
    <t>7487066386</t>
  </si>
  <si>
    <t>NESTLE DAMAK BATON 40 GR.</t>
  </si>
  <si>
    <t>7507619930</t>
  </si>
  <si>
    <t>NELLO FINDIK EZMESİ VE BÜTÜN FINDIKLI ÇİK.  33GR</t>
  </si>
  <si>
    <t>7638440038</t>
  </si>
  <si>
    <t>KAHVE DÜNYASI FRUTİBON YABAN MERSİNLİ 50GR</t>
  </si>
  <si>
    <t>7685370089</t>
  </si>
  <si>
    <t>ÜLKER DİDO KARE ÇİKOLATALI GOF. 55.5GR</t>
  </si>
  <si>
    <t>7699273039</t>
  </si>
  <si>
    <t>KAHVE DÜNYASI POPÇİK</t>
  </si>
  <si>
    <t>7774981744</t>
  </si>
  <si>
    <t>ETİ CANGA GOLD</t>
  </si>
  <si>
    <t>7814055142</t>
  </si>
  <si>
    <t>ÜLKER ÇİKOLATA İSTANBUL FINDIKLI 93G</t>
  </si>
  <si>
    <t>7967767083</t>
  </si>
  <si>
    <t>ÜLKER CIK.DOLU DOLU %32 FINDIK 80G</t>
  </si>
  <si>
    <t>8024025962</t>
  </si>
  <si>
    <t>ETİ GOLD ÇİKOLATALI GOFRET</t>
  </si>
  <si>
    <t>8212920593</t>
  </si>
  <si>
    <t>KAHVE DÜNYASI BONTE SÜTLÜ 50 GR.</t>
  </si>
  <si>
    <t>8237784673</t>
  </si>
  <si>
    <t>ETİ CANGA ANTEP FISTIKLI 45G</t>
  </si>
  <si>
    <t>8348097760</t>
  </si>
  <si>
    <t>ÜLKER CİK. DOLU DOLU TAB.%32 BADEM 80G</t>
  </si>
  <si>
    <t>8593997503</t>
  </si>
  <si>
    <t>ÜLKER LAVİVA SELEC.GOFRET SÜTLÜ 45GR</t>
  </si>
  <si>
    <t>8752999648</t>
  </si>
  <si>
    <t>NESTLE KITKAT CHUNKY DUO 38G</t>
  </si>
  <si>
    <t>8765125956</t>
  </si>
  <si>
    <t>NESTLE CRUNCH PATT 27GR</t>
  </si>
  <si>
    <t>8843355507</t>
  </si>
  <si>
    <t>ÜLKER ÇİK.GOF. MİD SİZE TAB.100G</t>
  </si>
  <si>
    <t>8865815672</t>
  </si>
  <si>
    <t>CONİTTA HAZELNUT MİLK 80 GR</t>
  </si>
  <si>
    <t>9093651530</t>
  </si>
  <si>
    <t>CONİTTA STRAWBARRY MİLK 80GR</t>
  </si>
  <si>
    <t>9286354700</t>
  </si>
  <si>
    <t>NESTLE ÇITIR GOFRET 35 GR.</t>
  </si>
  <si>
    <t>9369955669</t>
  </si>
  <si>
    <t>CAPO NARCISO DUBAI CHOCOLATE</t>
  </si>
  <si>
    <t>9402531820</t>
  </si>
  <si>
    <t>BOUNTY COCONUT 23.4GR</t>
  </si>
  <si>
    <t>9449350786</t>
  </si>
  <si>
    <t>FRUX FREEZE DRIED STRAWBERRIES MILK CHOCOLATE 80G</t>
  </si>
  <si>
    <t>9698924284</t>
  </si>
  <si>
    <t>FRUX FREEZE DRIED STRAWBERRIES DARK CHOCOLATE 80G</t>
  </si>
  <si>
    <t>9866080176</t>
  </si>
  <si>
    <t>FRUX FREEZE DRIED STRAWB. WHITE CHOC. 80G</t>
  </si>
  <si>
    <t>9917726066</t>
  </si>
  <si>
    <t>TADELLE GOFRET 28 GR.</t>
  </si>
  <si>
    <t>9946698479</t>
  </si>
  <si>
    <t>TWIX CLASSIC 75 GR.</t>
  </si>
  <si>
    <t>7030039913</t>
  </si>
  <si>
    <t>DELİ2GO SÜTLÜ ÇİKOLATA</t>
  </si>
  <si>
    <t>Yeni</t>
  </si>
  <si>
    <t>1767950141</t>
  </si>
  <si>
    <t>DELİ2GO BİTTER ÇİKOLATA</t>
  </si>
  <si>
    <t>Yıllık Satış</t>
  </si>
  <si>
    <t>Q1</t>
  </si>
  <si>
    <t>Q2</t>
  </si>
  <si>
    <t>Q3</t>
  </si>
  <si>
    <t>Q4</t>
  </si>
  <si>
    <t>İst. Toplam</t>
  </si>
  <si>
    <t>SHELL İstasyon Bazlı Satış Özeti</t>
  </si>
  <si>
    <t>İstasyon</t>
  </si>
  <si>
    <t>ID</t>
  </si>
  <si>
    <t>Ihlamur</t>
  </si>
  <si>
    <t>Bulgurlu</t>
  </si>
  <si>
    <t>Ataşehir Gümrük</t>
  </si>
  <si>
    <t>Odayeri OHT</t>
  </si>
  <si>
    <t>Acıbadem</t>
  </si>
  <si>
    <t>GENEL TOPLAM</t>
  </si>
  <si>
    <t>Net Birim KaR</t>
  </si>
  <si>
    <t>Deli2go Payı</t>
  </si>
  <si>
    <t>Deli2go</t>
  </si>
  <si>
    <t>Marka</t>
  </si>
  <si>
    <t>ÜLKER</t>
  </si>
  <si>
    <t>TADELLE</t>
  </si>
  <si>
    <t>KAHVE DÜNYASI</t>
  </si>
  <si>
    <t>ETİ</t>
  </si>
  <si>
    <t>KINDER</t>
  </si>
  <si>
    <t>SNICKERS</t>
  </si>
  <si>
    <t>NESTLE</t>
  </si>
  <si>
    <t>DELI2GO</t>
  </si>
  <si>
    <t>TWIX</t>
  </si>
  <si>
    <t>SKOR</t>
  </si>
  <si>
    <t>ÜLKER ÇİKOLATALI GOFRET</t>
  </si>
  <si>
    <t>TADELLE KİNG SİZE</t>
  </si>
  <si>
    <t>TADELLE FINDIK SÜTLÜ ÇİKOLATA</t>
  </si>
  <si>
    <t>ULKER DIDO 35 GR</t>
  </si>
  <si>
    <t>ETİ CANGA</t>
  </si>
  <si>
    <t>ÜLKER ÇİKOLATA KADAYIF DUBAİ LEZ</t>
  </si>
  <si>
    <t>KINDER BUENO T.2</t>
  </si>
  <si>
    <t>ÜLKER COCO STAR</t>
  </si>
  <si>
    <t>SNICKERS 2 PACK</t>
  </si>
  <si>
    <t>ÜLKER ÇİKOLATA GOFRET MAXİ</t>
  </si>
  <si>
    <t>Çikolata</t>
  </si>
  <si>
    <t>ULKER ANTEP FISTIKLI</t>
  </si>
  <si>
    <t>ÜLKER NAPOLİTEN SÜTLÜ</t>
  </si>
  <si>
    <t>NESTLE DAMAK ALA GOFRET</t>
  </si>
  <si>
    <t>Serbest</t>
  </si>
  <si>
    <t>Kilitli</t>
  </si>
  <si>
    <t>Yerleşim</t>
  </si>
  <si>
    <t>yeni</t>
  </si>
  <si>
    <t>SARELLE</t>
  </si>
  <si>
    <t>DİĞER</t>
  </si>
  <si>
    <t>FRUX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</si>
</sst>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11"/>
      <name val="Arial"/>
      <family val="2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</font>
    <font>
      <sz val="10"/>
      <name val="Arial"/>
      <family val="2"/>
      <charset val="1"/>
    </font>
    <font>
      <sz val="10"/>
      <color rgb="FF006400"/>
      <name val="Arial"/>
      <family val="2"/>
    </font>
    <font>
      <sz val="10"/>
      <name val="Arial"/>
      <family val="2"/>
    </font>
    <font>
      <b/>
      <sz val="10"/>
      <color rgb="FFE6510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3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9C4"/>
      </patternFill>
    </fill>
    <fill>
      <patternFill patternType="solid">
        <fgColor rgb="FF305496"/>
        <bgColor rgb="FF1F4E79"/>
      </patternFill>
    </fill>
    <fill>
      <patternFill patternType="solid">
        <fgColor rgb="FFFFF3E0"/>
        <bgColor rgb="FFFEF3E0"/>
      </patternFill>
    </fill>
    <fill>
      <patternFill patternType="solid">
        <fgColor rgb="FF1F4E79"/>
        <bgColor rgb="FF305496"/>
      </patternFill>
    </fill>
    <fill>
      <patternFill patternType="solid">
        <fgColor rgb="FFE8F0FE"/>
        <bgColor rgb="FFE8F5E9"/>
      </patternFill>
    </fill>
    <fill>
      <patternFill patternType="solid">
        <fgColor rgb="FFFEF3E0"/>
        <bgColor rgb="FFFFF3E0"/>
      </patternFill>
    </fill>
    <fill>
      <patternFill patternType="solid">
        <fgColor rgb="FFE8F5E9"/>
        <bgColor rgb="FFE8F0FE"/>
      </patternFill>
    </fill>
    <fill>
      <patternFill patternType="solid">
        <fgColor rgb="FFFCE4EC"/>
        <bgColor rgb="FFFEF3E0"/>
      </patternFill>
    </fill>
    <fill>
      <patternFill patternType="solid">
        <fgColor rgb="FFFFF9C4"/>
        <bgColor rgb="FFFFF2CC"/>
      </patternFill>
    </fill>
    <fill>
      <patternFill patternType="solid">
        <fgColor rgb="FFD6A400"/>
        <bgColor rgb="FFFFCC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2" fontId="2" fillId="0" borderId="0" xfId="0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6" borderId="2" xfId="0" applyNumberFormat="1" applyFont="1" applyFill="1" applyBorder="1" applyAlignment="1">
      <alignment horizontal="center"/>
    </xf>
    <xf numFmtId="3" fontId="9" fillId="7" borderId="2" xfId="0" applyNumberFormat="1" applyFont="1" applyFill="1" applyBorder="1" applyAlignment="1">
      <alignment horizontal="center"/>
    </xf>
    <xf numFmtId="3" fontId="9" fillId="8" borderId="2" xfId="0" applyNumberFormat="1" applyFont="1" applyFill="1" applyBorder="1" applyAlignment="1">
      <alignment horizontal="center"/>
    </xf>
    <xf numFmtId="3" fontId="9" fillId="9" borderId="2" xfId="0" applyNumberFormat="1" applyFont="1" applyFill="1" applyBorder="1" applyAlignment="1">
      <alignment horizontal="center"/>
    </xf>
    <xf numFmtId="3" fontId="12" fillId="10" borderId="2" xfId="0" applyNumberFormat="1" applyFont="1" applyFill="1" applyBorder="1" applyAlignment="1">
      <alignment horizontal="center"/>
    </xf>
    <xf numFmtId="0" fontId="4" fillId="0" borderId="2" xfId="0" applyFont="1" applyBorder="1"/>
    <xf numFmtId="3" fontId="11" fillId="5" borderId="2" xfId="0" applyNumberFormat="1" applyFont="1" applyFill="1" applyBorder="1"/>
    <xf numFmtId="0" fontId="4" fillId="0" borderId="2" xfId="0" applyFont="1" applyBorder="1" applyAlignment="1">
      <alignment horizontal="center"/>
    </xf>
    <xf numFmtId="3" fontId="4" fillId="10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/>
    <xf numFmtId="2" fontId="9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3" fillId="11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808080"/>
      <rgbColor rgb="FF9999FF"/>
      <rgbColor rgb="FF6D4C41"/>
      <rgbColor rgb="FFFFF9C4"/>
      <rgbColor rgb="FFE8F5E9"/>
      <rgbColor rgb="FF660066"/>
      <rgbColor rgb="FFFF8080"/>
      <rgbColor rgb="FF1565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EF3E0"/>
      <rgbColor rgb="FFFFF2CC"/>
      <rgbColor rgb="FFFCE4EC"/>
      <rgbColor rgb="FFFFF3E0"/>
      <rgbColor rgb="FFCC99FF"/>
      <rgbColor rgb="FFFFCC80"/>
      <rgbColor rgb="FF3366FF"/>
      <rgbColor rgb="FF33CCCC"/>
      <rgbColor rgb="FF99CC00"/>
      <rgbColor rgb="FFFFCC00"/>
      <rgbColor rgb="FFD6A400"/>
      <rgbColor rgb="FFE65100"/>
      <rgbColor rgb="FF666699"/>
      <rgbColor rgb="FF969696"/>
      <rgbColor rgb="FF1F4E79"/>
      <rgbColor rgb="FF339966"/>
      <rgbColor rgb="FF003300"/>
      <rgbColor rgb="FF333300"/>
      <rgbColor rgb="FFBF360C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topLeftCell="I1" zoomScale="136" zoomScaleNormal="85" workbookViewId="0">
      <pane ySplit="7" topLeftCell="A80" activePane="bottomLeft" state="frozen"/>
      <selection pane="bottomLeft" activeCell="W86" sqref="W86"/>
    </sheetView>
  </sheetViews>
  <sheetFormatPr baseColWidth="10" defaultColWidth="8.6640625" defaultRowHeight="15" x14ac:dyDescent="0.2"/>
  <cols>
    <col min="1" max="1" width="15" customWidth="1"/>
    <col min="2" max="2" width="15.5" customWidth="1"/>
    <col min="3" max="3" width="13" customWidth="1"/>
    <col min="4" max="4" width="7" customWidth="1"/>
    <col min="5" max="5" width="11" customWidth="1"/>
    <col min="6" max="6" width="12" customWidth="1"/>
    <col min="7" max="7" width="11" customWidth="1"/>
    <col min="8" max="8" width="12" customWidth="1"/>
    <col min="9" max="9" width="11" customWidth="1"/>
    <col min="10" max="10" width="10" customWidth="1"/>
    <col min="11" max="11" width="13" customWidth="1"/>
    <col min="12" max="12" width="12" customWidth="1"/>
    <col min="13" max="13" width="10" customWidth="1"/>
    <col min="14" max="14" width="9" customWidth="1"/>
    <col min="15" max="15" width="8" customWidth="1"/>
    <col min="16" max="16" width="10" customWidth="1"/>
    <col min="17" max="19" width="9" customWidth="1"/>
    <col min="20" max="23" width="12" customWidth="1"/>
    <col min="24" max="24" width="11" customWidth="1"/>
  </cols>
  <sheetData>
    <row r="1" spans="1:23" ht="16.5" customHeight="1" x14ac:dyDescent="0.2">
      <c r="B1" s="1" t="s">
        <v>0</v>
      </c>
      <c r="C1" s="1"/>
    </row>
    <row r="3" spans="1:23" ht="15" customHeight="1" x14ac:dyDescent="0.2">
      <c r="B3" s="2" t="s">
        <v>1</v>
      </c>
      <c r="C3" s="2"/>
    </row>
    <row r="4" spans="1:23" ht="15" customHeight="1" x14ac:dyDescent="0.2">
      <c r="D4" s="2" t="s">
        <v>2</v>
      </c>
      <c r="E4" s="2" t="s">
        <v>205</v>
      </c>
      <c r="F4" s="2" t="s">
        <v>13</v>
      </c>
      <c r="G4" s="2" t="s">
        <v>3</v>
      </c>
      <c r="H4" s="2" t="s">
        <v>4</v>
      </c>
      <c r="I4" s="2" t="s">
        <v>5</v>
      </c>
      <c r="J4" s="2" t="s">
        <v>206</v>
      </c>
      <c r="K4" s="2" t="s">
        <v>6</v>
      </c>
    </row>
    <row r="5" spans="1:23" ht="15" customHeight="1" x14ac:dyDescent="0.2">
      <c r="D5" s="3">
        <v>0.22</v>
      </c>
      <c r="E5" s="3">
        <v>0.15</v>
      </c>
      <c r="F5" s="3">
        <v>0.1</v>
      </c>
      <c r="G5" s="3">
        <v>0.15</v>
      </c>
      <c r="H5" s="3">
        <v>0.2</v>
      </c>
      <c r="I5" s="3">
        <v>0.08</v>
      </c>
      <c r="J5" s="34">
        <v>0.1</v>
      </c>
      <c r="K5" s="4">
        <f>SUM(D5:J5)</f>
        <v>1</v>
      </c>
    </row>
    <row r="7" spans="1:23" ht="27.75" customHeight="1" x14ac:dyDescent="0.2">
      <c r="A7" s="5" t="s">
        <v>7</v>
      </c>
      <c r="B7" s="6" t="s">
        <v>8</v>
      </c>
      <c r="C7" s="6" t="s">
        <v>208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3</v>
      </c>
      <c r="J7" s="6" t="s">
        <v>4</v>
      </c>
      <c r="K7" s="6" t="s">
        <v>5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6" t="s">
        <v>19</v>
      </c>
      <c r="R7" s="6" t="s">
        <v>207</v>
      </c>
      <c r="S7" s="6" t="s">
        <v>20</v>
      </c>
      <c r="T7" s="6" t="s">
        <v>21</v>
      </c>
      <c r="U7" s="6" t="s">
        <v>22</v>
      </c>
      <c r="V7" s="6" t="s">
        <v>23</v>
      </c>
      <c r="W7" s="7" t="s">
        <v>24</v>
      </c>
    </row>
    <row r="8" spans="1:23" ht="15" customHeight="1" x14ac:dyDescent="0.2">
      <c r="A8" s="8" t="s">
        <v>25</v>
      </c>
      <c r="B8" s="9" t="s">
        <v>26</v>
      </c>
      <c r="C8" s="9" t="s">
        <v>209</v>
      </c>
      <c r="D8" s="9" t="s">
        <v>27</v>
      </c>
      <c r="E8" s="9">
        <v>4.8</v>
      </c>
      <c r="F8" s="9">
        <v>348723</v>
      </c>
      <c r="G8" s="9">
        <v>7.12</v>
      </c>
      <c r="H8" s="9">
        <v>2313507</v>
      </c>
      <c r="I8" s="9">
        <v>4.1399999999999999E-2</v>
      </c>
      <c r="J8" s="9">
        <v>108202089</v>
      </c>
      <c r="K8" s="9">
        <v>332006000</v>
      </c>
      <c r="L8" s="10">
        <f>IF(SUM($F$8:$F$86)=0,0,F8/SUM($F$8:$F$86))</f>
        <v>0.13126927549183207</v>
      </c>
      <c r="M8" s="10">
        <f>IF(SUM($G$8:$G$86)=0,0,G8/SUM($G$8:$G$86))</f>
        <v>2.5442110265820024E-3</v>
      </c>
      <c r="N8" s="10">
        <f>IF(SUM($H$8:$H$86)=0,0,H8/SUM($H$8:$H$86))</f>
        <v>3.8191809267561563E-2</v>
      </c>
      <c r="O8" s="10">
        <f>IF(SUM($I$8:$I$86)=0,0,I8/SUM($I$8:$I$86))</f>
        <v>4.7190242790379575E-2</v>
      </c>
      <c r="P8" s="10">
        <f>IF(SUM($J$8:$J$86)=0,0,J8/SUM($J$8:$J$86))</f>
        <v>6.5172155366548995E-2</v>
      </c>
      <c r="Q8" s="10">
        <f>IF(SUM($K$8:$K$86)=0,0,K8/SUM($K$8:$K$86))</f>
        <v>7.4291483308968134E-2</v>
      </c>
      <c r="R8" s="10">
        <f t="shared" ref="R8:R71" si="0">IF(C8="DELI2GO",0.05,0)</f>
        <v>0</v>
      </c>
      <c r="S8" s="11">
        <f>1000*($D$5*L8+$E$5*M8+$F$5*N8+$G$5*O8+$H$5*P8+$I$5*Q8+$J$5*R8)</f>
        <v>59.1363393455307</v>
      </c>
      <c r="T8" s="12">
        <v>4</v>
      </c>
      <c r="U8" s="13">
        <v>2</v>
      </c>
      <c r="V8" s="13">
        <v>1</v>
      </c>
      <c r="W8" s="14" t="s">
        <v>28</v>
      </c>
    </row>
    <row r="9" spans="1:23" ht="15" customHeight="1" x14ac:dyDescent="0.2">
      <c r="A9" s="8" t="s">
        <v>29</v>
      </c>
      <c r="B9" s="9" t="s">
        <v>30</v>
      </c>
      <c r="C9" s="9" t="s">
        <v>210</v>
      </c>
      <c r="D9" s="9" t="s">
        <v>27</v>
      </c>
      <c r="E9" s="9">
        <v>5.6</v>
      </c>
      <c r="F9" s="9">
        <v>107616</v>
      </c>
      <c r="G9" s="9">
        <v>45.89</v>
      </c>
      <c r="H9" s="9">
        <v>4938842</v>
      </c>
      <c r="I9" s="9">
        <v>6.9099999999999995E-2</v>
      </c>
      <c r="J9" s="9">
        <v>179087575</v>
      </c>
      <c r="K9" s="9">
        <v>198633617</v>
      </c>
      <c r="L9" s="10">
        <f t="shared" ref="L9:L72" si="1">IF(SUM($F$8:$F$86)=0,0,F9/SUM($F$8:$F$86))</f>
        <v>4.0509729359202003E-2</v>
      </c>
      <c r="M9" s="10">
        <f t="shared" ref="M9:M72" si="2">IF(SUM($G$8:$G$86)=0,0,G9/SUM($G$8:$G$86))</f>
        <v>1.6398011799135966E-2</v>
      </c>
      <c r="N9" s="10">
        <f t="shared" ref="N9:N72" si="3">IF(SUM($H$8:$H$86)=0,0,H9/SUM($H$8:$H$86))</f>
        <v>8.1531333886874904E-2</v>
      </c>
      <c r="O9" s="10">
        <f t="shared" ref="O9:O72" si="4">IF(SUM($I$8:$I$86)=0,0,I9/SUM($I$8:$I$86))</f>
        <v>7.8764390744329185E-2</v>
      </c>
      <c r="P9" s="10">
        <f t="shared" ref="P9:P72" si="5">IF(SUM($J$8:$J$86)=0,0,J9/SUM($J$8:$J$86))</f>
        <v>0.1078678181723321</v>
      </c>
      <c r="Q9" s="10">
        <f t="shared" ref="Q9:Q72" si="6">IF(SUM($K$8:$K$86)=0,0,K9/SUM($K$8:$K$86))</f>
        <v>4.444734746346593E-2</v>
      </c>
      <c r="R9" s="10">
        <f t="shared" si="0"/>
        <v>0</v>
      </c>
      <c r="S9" s="11">
        <f t="shared" ref="S9:S72" si="7">1000*($D$5*L9+$E$5*M9+$F$5*N9+$G$5*O9+$H$5*P9+$I$5*Q9+$J$5*R9)</f>
        <v>56.468985660775402</v>
      </c>
      <c r="T9" s="12">
        <v>4</v>
      </c>
      <c r="U9" s="13">
        <v>2</v>
      </c>
      <c r="V9" s="13">
        <v>1</v>
      </c>
      <c r="W9" s="14" t="s">
        <v>28</v>
      </c>
    </row>
    <row r="10" spans="1:23" ht="15" customHeight="1" x14ac:dyDescent="0.2">
      <c r="A10" s="8" t="s">
        <v>31</v>
      </c>
      <c r="B10" s="9" t="s">
        <v>32</v>
      </c>
      <c r="C10" s="9" t="s">
        <v>211</v>
      </c>
      <c r="D10" s="9" t="s">
        <v>27</v>
      </c>
      <c r="E10" s="9">
        <v>4.9000000000000004</v>
      </c>
      <c r="F10" s="9">
        <v>147194</v>
      </c>
      <c r="G10" s="9">
        <v>31.71</v>
      </c>
      <c r="H10" s="9">
        <v>4667228</v>
      </c>
      <c r="I10" s="9">
        <v>5.8000000000000003E-2</v>
      </c>
      <c r="J10" s="9">
        <v>73591342</v>
      </c>
      <c r="K10" s="9">
        <v>360343935</v>
      </c>
      <c r="L10" s="10">
        <f t="shared" si="1"/>
        <v>5.5408016496602541E-2</v>
      </c>
      <c r="M10" s="10">
        <f t="shared" si="2"/>
        <v>1.1331029726533047E-2</v>
      </c>
      <c r="N10" s="10">
        <f t="shared" si="3"/>
        <v>7.7047478820778503E-2</v>
      </c>
      <c r="O10" s="10">
        <f t="shared" si="4"/>
        <v>6.611193434401004E-2</v>
      </c>
      <c r="P10" s="10">
        <f t="shared" si="5"/>
        <v>4.432545081876231E-2</v>
      </c>
      <c r="Q10" s="10">
        <f t="shared" si="6"/>
        <v>8.0632535052199056E-2</v>
      </c>
      <c r="R10" s="10">
        <f t="shared" si="0"/>
        <v>0</v>
      </c>
      <c r="S10" s="11">
        <f t="shared" si="7"/>
        <v>46.826649089840259</v>
      </c>
      <c r="T10" s="12">
        <v>4</v>
      </c>
      <c r="U10" s="13">
        <v>3</v>
      </c>
      <c r="V10" s="13">
        <v>1</v>
      </c>
      <c r="W10" s="14" t="s">
        <v>28</v>
      </c>
    </row>
    <row r="11" spans="1:23" ht="15" customHeight="1" x14ac:dyDescent="0.2">
      <c r="A11" s="8" t="s">
        <v>33</v>
      </c>
      <c r="B11" s="9" t="s">
        <v>34</v>
      </c>
      <c r="C11" s="9"/>
      <c r="D11" s="9" t="s">
        <v>27</v>
      </c>
      <c r="E11" s="9">
        <v>4.5</v>
      </c>
      <c r="F11" s="9">
        <v>126564</v>
      </c>
      <c r="G11" s="9">
        <v>32.299999999999997</v>
      </c>
      <c r="H11" s="9">
        <v>4088224</v>
      </c>
      <c r="I11" s="9">
        <v>5.4399999999999997E-2</v>
      </c>
      <c r="J11" s="9">
        <v>118926987</v>
      </c>
      <c r="K11" s="9">
        <v>150760464</v>
      </c>
      <c r="L11" s="10">
        <f t="shared" si="1"/>
        <v>4.7642296560158733E-2</v>
      </c>
      <c r="M11" s="10">
        <f t="shared" si="2"/>
        <v>1.1541856202050374E-2</v>
      </c>
      <c r="N11" s="10">
        <f t="shared" si="3"/>
        <v>6.7489171742755746E-2</v>
      </c>
      <c r="O11" s="10">
        <f t="shared" si="4"/>
        <v>6.2008434970933543E-2</v>
      </c>
      <c r="P11" s="10">
        <f t="shared" si="5"/>
        <v>7.1631963353679357E-2</v>
      </c>
      <c r="Q11" s="10">
        <f t="shared" si="6"/>
        <v>3.3734988207768213E-2</v>
      </c>
      <c r="R11" s="10">
        <f t="shared" si="0"/>
        <v>0</v>
      </c>
      <c r="S11" s="11">
        <f t="shared" si="7"/>
        <v>45.287957820815414</v>
      </c>
      <c r="T11" s="12">
        <v>3</v>
      </c>
      <c r="U11" s="13">
        <v>2</v>
      </c>
      <c r="V11" s="13">
        <v>1</v>
      </c>
      <c r="W11" s="14" t="s">
        <v>28</v>
      </c>
    </row>
    <row r="12" spans="1:23" ht="15" customHeight="1" x14ac:dyDescent="0.2">
      <c r="A12" s="8" t="s">
        <v>35</v>
      </c>
      <c r="B12" s="9" t="s">
        <v>36</v>
      </c>
      <c r="C12" s="9" t="s">
        <v>212</v>
      </c>
      <c r="D12" s="9" t="s">
        <v>27</v>
      </c>
      <c r="E12" s="9">
        <v>4.9000000000000004</v>
      </c>
      <c r="F12" s="9">
        <v>133104</v>
      </c>
      <c r="G12" s="9">
        <v>23.5</v>
      </c>
      <c r="H12" s="9">
        <v>3127838</v>
      </c>
      <c r="I12" s="9">
        <v>4.0800000000000003E-2</v>
      </c>
      <c r="J12" s="9">
        <v>110021851</v>
      </c>
      <c r="K12" s="9">
        <v>266800854</v>
      </c>
      <c r="L12" s="10">
        <f t="shared" si="1"/>
        <v>5.0104138944276157E-2</v>
      </c>
      <c r="M12" s="10">
        <f t="shared" si="2"/>
        <v>8.3973257197580142E-3</v>
      </c>
      <c r="N12" s="10">
        <f t="shared" si="3"/>
        <v>5.1634938781612169E-2</v>
      </c>
      <c r="O12" s="10">
        <f t="shared" si="4"/>
        <v>4.6506326228200168E-2</v>
      </c>
      <c r="P12" s="10">
        <f t="shared" si="5"/>
        <v>6.6268232280499717E-2</v>
      </c>
      <c r="Q12" s="10">
        <f t="shared" si="6"/>
        <v>5.9700822249475746E-2</v>
      </c>
      <c r="R12" s="10">
        <f t="shared" si="0"/>
        <v>0</v>
      </c>
      <c r="S12" s="11">
        <f t="shared" si="7"/>
        <v>42.451664474153702</v>
      </c>
      <c r="T12" s="12">
        <v>3</v>
      </c>
      <c r="U12" s="13">
        <v>2</v>
      </c>
      <c r="V12" s="13">
        <v>1</v>
      </c>
      <c r="W12" s="14" t="s">
        <v>28</v>
      </c>
    </row>
    <row r="13" spans="1:23" ht="15" customHeight="1" x14ac:dyDescent="0.2">
      <c r="A13" s="8" t="s">
        <v>37</v>
      </c>
      <c r="B13" s="9" t="s">
        <v>38</v>
      </c>
      <c r="C13" s="9" t="s">
        <v>209</v>
      </c>
      <c r="D13" s="9" t="s">
        <v>27</v>
      </c>
      <c r="E13" s="9">
        <v>4.7</v>
      </c>
      <c r="F13" s="9">
        <v>108865</v>
      </c>
      <c r="G13" s="9">
        <v>16.399999999999999</v>
      </c>
      <c r="H13" s="9">
        <v>1680810</v>
      </c>
      <c r="I13" s="9">
        <v>2.5499999999999998E-2</v>
      </c>
      <c r="J13" s="9">
        <v>74144351</v>
      </c>
      <c r="K13" s="9">
        <v>177685237</v>
      </c>
      <c r="L13" s="10">
        <f t="shared" si="1"/>
        <v>4.0979888554578556E-2</v>
      </c>
      <c r="M13" s="10">
        <f t="shared" si="2"/>
        <v>5.8602613533630388E-3</v>
      </c>
      <c r="N13" s="10">
        <f t="shared" si="3"/>
        <v>2.7747128033332145E-2</v>
      </c>
      <c r="O13" s="10">
        <f t="shared" si="4"/>
        <v>2.9066453892625098E-2</v>
      </c>
      <c r="P13" s="10">
        <f t="shared" si="5"/>
        <v>4.465853855117291E-2</v>
      </c>
      <c r="Q13" s="10">
        <f t="shared" si="6"/>
        <v>3.9759823071979269E-2</v>
      </c>
      <c r="R13" s="10">
        <f t="shared" si="0"/>
        <v>0</v>
      </c>
      <c r="S13" s="11">
        <f t="shared" si="7"/>
        <v>29.14178912823164</v>
      </c>
      <c r="T13" s="12">
        <v>4</v>
      </c>
      <c r="U13" s="13">
        <v>2</v>
      </c>
      <c r="V13" s="13">
        <v>1</v>
      </c>
      <c r="W13" s="14" t="s">
        <v>28</v>
      </c>
    </row>
    <row r="14" spans="1:23" ht="15" customHeight="1" x14ac:dyDescent="0.2">
      <c r="A14" s="8" t="s">
        <v>39</v>
      </c>
      <c r="B14" s="9" t="s">
        <v>40</v>
      </c>
      <c r="C14" s="9" t="s">
        <v>212</v>
      </c>
      <c r="D14" s="9" t="s">
        <v>27</v>
      </c>
      <c r="E14" s="9">
        <v>5.0999999999999996</v>
      </c>
      <c r="F14" s="9">
        <v>101588</v>
      </c>
      <c r="G14" s="9">
        <v>18.3</v>
      </c>
      <c r="H14" s="9">
        <v>1859322</v>
      </c>
      <c r="I14" s="9">
        <v>2.58E-2</v>
      </c>
      <c r="J14" s="9">
        <v>68605012</v>
      </c>
      <c r="K14" s="9">
        <v>173409844</v>
      </c>
      <c r="L14" s="10">
        <f t="shared" si="1"/>
        <v>3.8240618366624041E-2</v>
      </c>
      <c r="M14" s="10">
        <f t="shared" si="2"/>
        <v>6.5391940711307089E-3</v>
      </c>
      <c r="N14" s="10">
        <f t="shared" si="3"/>
        <v>3.0694037749175215E-2</v>
      </c>
      <c r="O14" s="10">
        <f t="shared" si="4"/>
        <v>2.9408412173714808E-2</v>
      </c>
      <c r="P14" s="10">
        <f t="shared" si="5"/>
        <v>4.1322090380232476E-2</v>
      </c>
      <c r="Q14" s="10">
        <f t="shared" si="6"/>
        <v>3.8803137687682662E-2</v>
      </c>
      <c r="R14" s="10">
        <f t="shared" si="0"/>
        <v>0</v>
      </c>
      <c r="S14" s="11">
        <f t="shared" si="7"/>
        <v>28.243149843362747</v>
      </c>
      <c r="T14" s="12">
        <v>3</v>
      </c>
      <c r="U14" s="13">
        <v>2</v>
      </c>
      <c r="V14" s="13">
        <v>1</v>
      </c>
      <c r="W14" s="14" t="s">
        <v>28</v>
      </c>
    </row>
    <row r="15" spans="1:23" ht="15" customHeight="1" x14ac:dyDescent="0.2">
      <c r="A15" s="8" t="s">
        <v>41</v>
      </c>
      <c r="B15" s="9" t="s">
        <v>42</v>
      </c>
      <c r="C15" s="9" t="s">
        <v>209</v>
      </c>
      <c r="D15" s="9" t="s">
        <v>27</v>
      </c>
      <c r="E15" s="9">
        <v>4.9000000000000004</v>
      </c>
      <c r="F15" s="9">
        <v>113921</v>
      </c>
      <c r="G15" s="9">
        <v>12.29</v>
      </c>
      <c r="H15" s="9">
        <v>1320251</v>
      </c>
      <c r="I15" s="9">
        <v>1.9400000000000001E-2</v>
      </c>
      <c r="J15" s="9">
        <v>48060880</v>
      </c>
      <c r="K15" s="9">
        <v>122492823</v>
      </c>
      <c r="L15" s="10">
        <f t="shared" si="1"/>
        <v>4.2883111046030806E-2</v>
      </c>
      <c r="M15" s="10">
        <f t="shared" si="2"/>
        <v>4.3916226849287652E-3</v>
      </c>
      <c r="N15" s="10">
        <f t="shared" si="3"/>
        <v>2.1794952155886029E-2</v>
      </c>
      <c r="O15" s="10">
        <f t="shared" si="4"/>
        <v>2.2113302177134392E-2</v>
      </c>
      <c r="P15" s="10">
        <f t="shared" si="5"/>
        <v>2.8947972884452049E-2</v>
      </c>
      <c r="Q15" s="10">
        <f t="shared" si="6"/>
        <v>2.7409665835475529E-2</v>
      </c>
      <c r="R15" s="10">
        <f t="shared" si="0"/>
        <v>0</v>
      </c>
      <c r="S15" s="11">
        <f t="shared" si="7"/>
        <v>23.571886218753303</v>
      </c>
      <c r="T15" s="12">
        <v>4</v>
      </c>
      <c r="U15" s="13">
        <v>2</v>
      </c>
      <c r="V15" s="13">
        <v>1</v>
      </c>
      <c r="W15" s="14" t="s">
        <v>28</v>
      </c>
    </row>
    <row r="16" spans="1:23" ht="15" customHeight="1" x14ac:dyDescent="0.2">
      <c r="A16" s="8" t="s">
        <v>43</v>
      </c>
      <c r="B16" s="9" t="s">
        <v>44</v>
      </c>
      <c r="C16" s="9" t="s">
        <v>209</v>
      </c>
      <c r="D16" s="9" t="s">
        <v>27</v>
      </c>
      <c r="E16" s="9">
        <v>4.9000000000000004</v>
      </c>
      <c r="F16" s="9">
        <v>96479</v>
      </c>
      <c r="G16" s="9">
        <v>12.85</v>
      </c>
      <c r="H16" s="9">
        <v>1158138</v>
      </c>
      <c r="I16" s="9">
        <v>0.02</v>
      </c>
      <c r="J16" s="9">
        <v>50074475</v>
      </c>
      <c r="K16" s="9">
        <v>77776529</v>
      </c>
      <c r="L16" s="10">
        <f t="shared" si="1"/>
        <v>3.6317445164719464E-2</v>
      </c>
      <c r="M16" s="10">
        <f t="shared" si="2"/>
        <v>4.5917291701655519E-3</v>
      </c>
      <c r="N16" s="10">
        <f t="shared" si="3"/>
        <v>1.9118760220528927E-2</v>
      </c>
      <c r="O16" s="10">
        <f t="shared" si="4"/>
        <v>2.2797218739313806E-2</v>
      </c>
      <c r="P16" s="10">
        <f t="shared" si="5"/>
        <v>3.0160799063670328E-2</v>
      </c>
      <c r="Q16" s="10">
        <f t="shared" si="6"/>
        <v>1.740370266209941E-2</v>
      </c>
      <c r="R16" s="10">
        <f t="shared" si="0"/>
        <v>0</v>
      </c>
      <c r="S16" s="11">
        <f t="shared" si="7"/>
        <v>21.434512170415097</v>
      </c>
      <c r="T16" s="12">
        <v>4</v>
      </c>
      <c r="U16" s="13">
        <v>2</v>
      </c>
      <c r="V16" s="13">
        <v>1</v>
      </c>
      <c r="W16" s="14" t="s">
        <v>28</v>
      </c>
    </row>
    <row r="17" spans="1:23" ht="15" customHeight="1" x14ac:dyDescent="0.2">
      <c r="A17" s="8" t="s">
        <v>45</v>
      </c>
      <c r="B17" s="9" t="s">
        <v>46</v>
      </c>
      <c r="C17" s="9" t="s">
        <v>212</v>
      </c>
      <c r="D17" s="9" t="s">
        <v>27</v>
      </c>
      <c r="E17" s="9">
        <v>4.9000000000000004</v>
      </c>
      <c r="F17" s="9">
        <v>60856</v>
      </c>
      <c r="G17" s="9">
        <v>34.72</v>
      </c>
      <c r="H17" s="9">
        <v>2112660</v>
      </c>
      <c r="I17" s="9">
        <v>2.9600000000000001E-2</v>
      </c>
      <c r="J17" s="9">
        <v>30979502</v>
      </c>
      <c r="K17" s="9">
        <v>36319437</v>
      </c>
      <c r="L17" s="10">
        <f t="shared" si="1"/>
        <v>2.2907932741261496E-2</v>
      </c>
      <c r="M17" s="10">
        <f t="shared" si="2"/>
        <v>1.2406602084680775E-2</v>
      </c>
      <c r="N17" s="10">
        <f t="shared" si="3"/>
        <v>3.4876189165283102E-2</v>
      </c>
      <c r="O17" s="10">
        <f t="shared" si="4"/>
        <v>3.3739883734184434E-2</v>
      </c>
      <c r="P17" s="10">
        <f t="shared" si="5"/>
        <v>1.8659537317457106E-2</v>
      </c>
      <c r="Q17" s="10">
        <f t="shared" si="6"/>
        <v>8.1270364019825538E-3</v>
      </c>
      <c r="R17" s="10">
        <f t="shared" si="0"/>
        <v>0</v>
      </c>
      <c r="S17" s="11">
        <f t="shared" si="7"/>
        <v>19.831407368085646</v>
      </c>
      <c r="T17" s="12">
        <v>3</v>
      </c>
      <c r="U17" s="13">
        <v>2</v>
      </c>
      <c r="V17" s="13">
        <v>1</v>
      </c>
      <c r="W17" s="14" t="s">
        <v>28</v>
      </c>
    </row>
    <row r="18" spans="1:23" ht="15" customHeight="1" x14ac:dyDescent="0.2">
      <c r="A18" s="8" t="s">
        <v>47</v>
      </c>
      <c r="B18" s="9" t="s">
        <v>48</v>
      </c>
      <c r="C18" s="9" t="s">
        <v>214</v>
      </c>
      <c r="D18" s="9" t="s">
        <v>27</v>
      </c>
      <c r="E18" s="9">
        <v>5.2</v>
      </c>
      <c r="F18" s="9">
        <v>49795</v>
      </c>
      <c r="G18" s="9">
        <v>31.81</v>
      </c>
      <c r="H18" s="9">
        <v>1340020</v>
      </c>
      <c r="I18" s="9">
        <v>1.9900000000000001E-2</v>
      </c>
      <c r="J18" s="9">
        <v>48496096</v>
      </c>
      <c r="K18" s="9">
        <v>48855448</v>
      </c>
      <c r="L18" s="10">
        <f t="shared" si="1"/>
        <v>1.8744257112710598E-2</v>
      </c>
      <c r="M18" s="10">
        <f t="shared" si="2"/>
        <v>1.1366763027468188E-2</v>
      </c>
      <c r="N18" s="10">
        <f t="shared" si="3"/>
        <v>2.2121302531056895E-2</v>
      </c>
      <c r="O18" s="10">
        <f t="shared" si="4"/>
        <v>2.2683232645617238E-2</v>
      </c>
      <c r="P18" s="10">
        <f t="shared" si="5"/>
        <v>2.9210111675229071E-2</v>
      </c>
      <c r="Q18" s="10">
        <f t="shared" si="6"/>
        <v>1.0932162971886535E-2</v>
      </c>
      <c r="R18" s="10">
        <f t="shared" si="0"/>
        <v>0</v>
      </c>
      <c r="S18" s="11">
        <f t="shared" si="7"/>
        <v>18.159961541661573</v>
      </c>
      <c r="T18" s="12">
        <v>4</v>
      </c>
      <c r="U18" s="13">
        <v>2</v>
      </c>
      <c r="V18" s="13">
        <v>1</v>
      </c>
      <c r="W18" s="14" t="s">
        <v>28</v>
      </c>
    </row>
    <row r="19" spans="1:23" ht="15" customHeight="1" x14ac:dyDescent="0.2">
      <c r="A19" s="8" t="s">
        <v>49</v>
      </c>
      <c r="B19" s="9" t="s">
        <v>50</v>
      </c>
      <c r="C19" s="9" t="s">
        <v>212</v>
      </c>
      <c r="D19" s="9" t="s">
        <v>27</v>
      </c>
      <c r="E19" s="9">
        <v>4.9000000000000004</v>
      </c>
      <c r="F19" s="9">
        <v>86848</v>
      </c>
      <c r="G19" s="9">
        <v>5.78</v>
      </c>
      <c r="H19" s="9">
        <v>501563</v>
      </c>
      <c r="I19" s="9">
        <v>1.0200000000000001E-2</v>
      </c>
      <c r="J19" s="9">
        <v>45745671</v>
      </c>
      <c r="K19" s="9">
        <v>103918063</v>
      </c>
      <c r="L19" s="10">
        <f t="shared" si="1"/>
        <v>3.269206228988232E-2</v>
      </c>
      <c r="M19" s="10">
        <f t="shared" si="2"/>
        <v>2.06538479405112E-3</v>
      </c>
      <c r="N19" s="10">
        <f t="shared" si="3"/>
        <v>8.2798964652650627E-3</v>
      </c>
      <c r="O19" s="10">
        <f t="shared" si="4"/>
        <v>1.1626581557050042E-2</v>
      </c>
      <c r="P19" s="10">
        <f t="shared" si="5"/>
        <v>2.7553478914432369E-2</v>
      </c>
      <c r="Q19" s="10">
        <f t="shared" si="6"/>
        <v>2.3253275672321584E-2</v>
      </c>
      <c r="R19" s="10">
        <f t="shared" si="0"/>
        <v>0</v>
      </c>
      <c r="S19" s="11">
        <f t="shared" si="7"/>
        <v>17.44499613963799</v>
      </c>
      <c r="T19" s="12">
        <v>3</v>
      </c>
      <c r="U19" s="13">
        <v>1</v>
      </c>
      <c r="V19" s="13">
        <v>1</v>
      </c>
      <c r="W19" s="14" t="s">
        <v>28</v>
      </c>
    </row>
    <row r="20" spans="1:23" ht="15" customHeight="1" x14ac:dyDescent="0.2">
      <c r="A20" s="8" t="s">
        <v>51</v>
      </c>
      <c r="B20" s="9" t="s">
        <v>52</v>
      </c>
      <c r="C20" s="9" t="s">
        <v>209</v>
      </c>
      <c r="D20" s="9" t="s">
        <v>27</v>
      </c>
      <c r="E20" s="9">
        <v>6.8</v>
      </c>
      <c r="F20" s="9">
        <v>8951</v>
      </c>
      <c r="G20" s="9">
        <v>91.46</v>
      </c>
      <c r="H20" s="9">
        <v>776203</v>
      </c>
      <c r="I20" s="9">
        <v>1.04E-2</v>
      </c>
      <c r="J20" s="9">
        <v>27091149</v>
      </c>
      <c r="K20" s="9">
        <v>289750382</v>
      </c>
      <c r="L20" s="10">
        <f t="shared" si="1"/>
        <v>3.369411495448791E-3</v>
      </c>
      <c r="M20" s="10">
        <f t="shared" si="2"/>
        <v>3.268167703527948E-2</v>
      </c>
      <c r="N20" s="10">
        <f t="shared" si="3"/>
        <v>1.2813705309259531E-2</v>
      </c>
      <c r="O20" s="10">
        <f t="shared" si="4"/>
        <v>1.1854553744443178E-2</v>
      </c>
      <c r="P20" s="10">
        <f t="shared" si="5"/>
        <v>1.6317509098057511E-2</v>
      </c>
      <c r="Q20" s="10">
        <f t="shared" si="6"/>
        <v>6.4836134491907199E-2</v>
      </c>
      <c r="R20" s="10">
        <f t="shared" si="0"/>
        <v>0</v>
      </c>
      <c r="S20" s="11">
        <f t="shared" si="7"/>
        <v>17.153468255847166</v>
      </c>
      <c r="T20" s="12">
        <v>3</v>
      </c>
      <c r="U20" s="13">
        <v>1</v>
      </c>
      <c r="V20" s="13">
        <v>1</v>
      </c>
      <c r="W20" s="14" t="s">
        <v>28</v>
      </c>
    </row>
    <row r="21" spans="1:23" ht="15" customHeight="1" x14ac:dyDescent="0.2">
      <c r="A21" s="8" t="s">
        <v>53</v>
      </c>
      <c r="B21" s="9" t="s">
        <v>54</v>
      </c>
      <c r="C21" s="9" t="s">
        <v>213</v>
      </c>
      <c r="D21" s="9" t="s">
        <v>27</v>
      </c>
      <c r="E21" s="9">
        <v>5</v>
      </c>
      <c r="F21" s="9">
        <v>57947</v>
      </c>
      <c r="G21" s="9">
        <v>28.31</v>
      </c>
      <c r="H21" s="9">
        <v>1640538</v>
      </c>
      <c r="I21" s="9">
        <v>2.4E-2</v>
      </c>
      <c r="J21" s="9">
        <v>23646367</v>
      </c>
      <c r="K21" s="9">
        <v>44405587</v>
      </c>
      <c r="L21" s="10">
        <f t="shared" si="1"/>
        <v>2.1812902237378071E-2</v>
      </c>
      <c r="M21" s="10">
        <f t="shared" si="2"/>
        <v>1.011609749473827E-2</v>
      </c>
      <c r="N21" s="10">
        <f t="shared" si="3"/>
        <v>2.7082310272753405E-2</v>
      </c>
      <c r="O21" s="10">
        <f t="shared" si="4"/>
        <v>2.7356662487176567E-2</v>
      </c>
      <c r="P21" s="10">
        <f t="shared" si="5"/>
        <v>1.4242652043237696E-2</v>
      </c>
      <c r="Q21" s="10">
        <f t="shared" si="6"/>
        <v>9.9364376711126683E-3</v>
      </c>
      <c r="R21" s="10">
        <f t="shared" si="0"/>
        <v>0</v>
      </c>
      <c r="S21" s="11">
        <f t="shared" si="7"/>
        <v>16.771428939122295</v>
      </c>
      <c r="T21" s="12">
        <v>2</v>
      </c>
      <c r="U21" s="13">
        <v>1</v>
      </c>
      <c r="V21" s="13">
        <v>1</v>
      </c>
      <c r="W21" s="14" t="s">
        <v>28</v>
      </c>
    </row>
    <row r="22" spans="1:23" ht="15" customHeight="1" x14ac:dyDescent="0.2">
      <c r="A22" s="8" t="s">
        <v>55</v>
      </c>
      <c r="B22" s="9" t="s">
        <v>56</v>
      </c>
      <c r="C22" s="9" t="s">
        <v>209</v>
      </c>
      <c r="D22" s="9" t="s">
        <v>27</v>
      </c>
      <c r="E22" s="9">
        <v>4.8</v>
      </c>
      <c r="F22" s="9">
        <v>74810</v>
      </c>
      <c r="G22" s="9">
        <v>12.66</v>
      </c>
      <c r="H22" s="9">
        <v>903067</v>
      </c>
      <c r="I22" s="9">
        <v>1.0800000000000001E-2</v>
      </c>
      <c r="J22" s="9">
        <v>36396363</v>
      </c>
      <c r="K22" s="9">
        <v>79067572</v>
      </c>
      <c r="L22" s="10">
        <f t="shared" si="1"/>
        <v>2.8160616017710208E-2</v>
      </c>
      <c r="M22" s="10">
        <f t="shared" si="2"/>
        <v>4.5238358983887847E-3</v>
      </c>
      <c r="N22" s="10">
        <f t="shared" si="3"/>
        <v>1.4908000114038564E-2</v>
      </c>
      <c r="O22" s="10">
        <f t="shared" si="4"/>
        <v>1.2310498119229456E-2</v>
      </c>
      <c r="P22" s="10">
        <f t="shared" si="5"/>
        <v>2.1922214683057693E-2</v>
      </c>
      <c r="Q22" s="10">
        <f t="shared" si="6"/>
        <v>1.7692593523968351E-2</v>
      </c>
      <c r="R22" s="10">
        <f t="shared" si="0"/>
        <v>0</v>
      </c>
      <c r="S22" s="11">
        <f t="shared" si="7"/>
        <v>16.011136056471845</v>
      </c>
      <c r="T22" s="12">
        <v>3</v>
      </c>
      <c r="U22" s="13">
        <v>1</v>
      </c>
      <c r="V22" s="13">
        <v>1</v>
      </c>
      <c r="W22" s="14" t="s">
        <v>28</v>
      </c>
    </row>
    <row r="23" spans="1:23" ht="15" customHeight="1" x14ac:dyDescent="0.2">
      <c r="A23" s="8" t="s">
        <v>57</v>
      </c>
      <c r="B23" s="9" t="s">
        <v>58</v>
      </c>
      <c r="C23" s="9" t="s">
        <v>214</v>
      </c>
      <c r="D23" s="9" t="s">
        <v>27</v>
      </c>
      <c r="E23" s="9">
        <v>6.4</v>
      </c>
      <c r="F23" s="9">
        <v>42696</v>
      </c>
      <c r="G23" s="9">
        <v>47.68</v>
      </c>
      <c r="H23" s="9">
        <v>1726191</v>
      </c>
      <c r="I23" s="9">
        <v>2.52E-2</v>
      </c>
      <c r="J23" s="9">
        <v>18500599</v>
      </c>
      <c r="K23" s="9">
        <v>20590959</v>
      </c>
      <c r="L23" s="10">
        <f t="shared" si="1"/>
        <v>1.6071991197595979E-2</v>
      </c>
      <c r="M23" s="10">
        <f t="shared" si="2"/>
        <v>1.7037637885874982E-2</v>
      </c>
      <c r="N23" s="10">
        <f t="shared" si="3"/>
        <v>2.8496286128108263E-2</v>
      </c>
      <c r="O23" s="10">
        <f t="shared" si="4"/>
        <v>2.8724495611535394E-2</v>
      </c>
      <c r="P23" s="10">
        <f t="shared" si="5"/>
        <v>1.1143259095508045E-2</v>
      </c>
      <c r="Q23" s="10">
        <f t="shared" si="6"/>
        <v>4.6075459083996899E-3</v>
      </c>
      <c r="R23" s="10">
        <f t="shared" si="0"/>
        <v>0</v>
      </c>
      <c r="S23" s="11">
        <f t="shared" si="7"/>
        <v>15.847042192667082</v>
      </c>
      <c r="T23" s="12">
        <v>4</v>
      </c>
      <c r="U23" s="13">
        <v>2</v>
      </c>
      <c r="V23" s="13">
        <v>1</v>
      </c>
      <c r="W23" s="14" t="s">
        <v>28</v>
      </c>
    </row>
    <row r="24" spans="1:23" ht="15" customHeight="1" x14ac:dyDescent="0.2">
      <c r="A24" s="8" t="s">
        <v>59</v>
      </c>
      <c r="B24" s="9" t="s">
        <v>60</v>
      </c>
      <c r="C24" s="9" t="s">
        <v>209</v>
      </c>
      <c r="D24" s="9" t="s">
        <v>27</v>
      </c>
      <c r="E24" s="9">
        <v>5.0999999999999996</v>
      </c>
      <c r="F24" s="9">
        <v>74800</v>
      </c>
      <c r="G24" s="9">
        <v>10.09</v>
      </c>
      <c r="H24" s="9">
        <v>707415</v>
      </c>
      <c r="I24" s="9">
        <v>1.1599999999999999E-2</v>
      </c>
      <c r="J24" s="9">
        <v>31397354</v>
      </c>
      <c r="K24" s="9">
        <v>81302474</v>
      </c>
      <c r="L24" s="10">
        <f t="shared" si="1"/>
        <v>2.8156851732719201E-2</v>
      </c>
      <c r="M24" s="10">
        <f t="shared" si="2"/>
        <v>3.6054900643556747E-3</v>
      </c>
      <c r="N24" s="10">
        <f t="shared" si="3"/>
        <v>1.1678140050154188E-2</v>
      </c>
      <c r="O24" s="10">
        <f t="shared" si="4"/>
        <v>1.3222386868802005E-2</v>
      </c>
      <c r="P24" s="10">
        <f t="shared" si="5"/>
        <v>1.8911217444115506E-2</v>
      </c>
      <c r="Q24" s="10">
        <f t="shared" si="6"/>
        <v>1.8192687451879835E-2</v>
      </c>
      <c r="R24" s="10">
        <f t="shared" si="0"/>
        <v>0</v>
      </c>
      <c r="S24" s="11">
        <f t="shared" si="7"/>
        <v>15.124161411160783</v>
      </c>
      <c r="T24" s="12">
        <v>2</v>
      </c>
      <c r="U24" s="13">
        <v>1</v>
      </c>
      <c r="V24" s="13">
        <v>1</v>
      </c>
      <c r="W24" s="14" t="s">
        <v>28</v>
      </c>
    </row>
    <row r="25" spans="1:23" ht="15" customHeight="1" x14ac:dyDescent="0.2">
      <c r="A25" s="8" t="s">
        <v>61</v>
      </c>
      <c r="B25" s="9" t="s">
        <v>62</v>
      </c>
      <c r="C25" s="9" t="s">
        <v>209</v>
      </c>
      <c r="D25" s="9" t="s">
        <v>27</v>
      </c>
      <c r="E25" s="9">
        <v>6</v>
      </c>
      <c r="F25" s="9">
        <v>14464</v>
      </c>
      <c r="G25" s="9">
        <v>72.67</v>
      </c>
      <c r="H25" s="9">
        <v>994569</v>
      </c>
      <c r="I25" s="9">
        <v>1.38E-2</v>
      </c>
      <c r="J25" s="9">
        <v>26542114</v>
      </c>
      <c r="K25" s="9">
        <v>119460377</v>
      </c>
      <c r="L25" s="10">
        <f t="shared" si="1"/>
        <v>5.4446618109899808E-3</v>
      </c>
      <c r="M25" s="10">
        <f t="shared" si="2"/>
        <v>2.596738978956659E-2</v>
      </c>
      <c r="N25" s="10">
        <f t="shared" si="3"/>
        <v>1.6418532362957813E-2</v>
      </c>
      <c r="O25" s="10">
        <f t="shared" si="4"/>
        <v>1.5730080930126525E-2</v>
      </c>
      <c r="P25" s="10">
        <f t="shared" si="5"/>
        <v>1.5986814980666918E-2</v>
      </c>
      <c r="Q25" s="10">
        <f t="shared" si="6"/>
        <v>2.6731109088325336E-2</v>
      </c>
      <c r="R25" s="10">
        <f t="shared" si="0"/>
        <v>0</v>
      </c>
      <c r="S25" s="11">
        <f t="shared" si="7"/>
        <v>14.430151165866954</v>
      </c>
      <c r="T25" s="12">
        <v>2</v>
      </c>
      <c r="U25" s="13">
        <v>1</v>
      </c>
      <c r="V25" s="13">
        <v>1</v>
      </c>
      <c r="W25" s="14" t="s">
        <v>28</v>
      </c>
    </row>
    <row r="26" spans="1:23" ht="15" customHeight="1" x14ac:dyDescent="0.2">
      <c r="A26" s="8" t="s">
        <v>63</v>
      </c>
      <c r="B26" s="9" t="s">
        <v>64</v>
      </c>
      <c r="C26" s="9" t="s">
        <v>209</v>
      </c>
      <c r="D26" s="9" t="s">
        <v>27</v>
      </c>
      <c r="E26" s="9">
        <v>10</v>
      </c>
      <c r="F26" s="9">
        <v>25100</v>
      </c>
      <c r="G26" s="9">
        <v>32.119999999999997</v>
      </c>
      <c r="H26" s="9">
        <v>765228</v>
      </c>
      <c r="I26" s="9">
        <v>0.01</v>
      </c>
      <c r="J26" s="9">
        <v>30236222</v>
      </c>
      <c r="K26" s="9">
        <v>179522869</v>
      </c>
      <c r="L26" s="10">
        <f t="shared" si="1"/>
        <v>9.4483553274231549E-3</v>
      </c>
      <c r="M26" s="10">
        <f t="shared" si="2"/>
        <v>1.1477536260367122E-2</v>
      </c>
      <c r="N26" s="10">
        <f t="shared" si="3"/>
        <v>1.2632527942296089E-2</v>
      </c>
      <c r="O26" s="10">
        <f t="shared" si="4"/>
        <v>1.1398609369656903E-2</v>
      </c>
      <c r="P26" s="10">
        <f t="shared" si="5"/>
        <v>1.8211845779442085E-2</v>
      </c>
      <c r="Q26" s="10">
        <f t="shared" si="6"/>
        <v>4.0171021686028485E-2</v>
      </c>
      <c r="R26" s="10">
        <f t="shared" si="0"/>
        <v>0</v>
      </c>
      <c r="S26" s="11">
        <f t="shared" si="7"/>
        <v>13.629363701537004</v>
      </c>
      <c r="T26" s="12">
        <v>3</v>
      </c>
      <c r="U26" s="13">
        <v>1</v>
      </c>
      <c r="V26" s="13">
        <v>1</v>
      </c>
      <c r="W26" s="14" t="s">
        <v>28</v>
      </c>
    </row>
    <row r="27" spans="1:23" ht="15" customHeight="1" x14ac:dyDescent="0.2">
      <c r="A27" s="8" t="s">
        <v>65</v>
      </c>
      <c r="B27" s="9" t="s">
        <v>66</v>
      </c>
      <c r="C27" s="9" t="s">
        <v>215</v>
      </c>
      <c r="D27" s="9" t="s">
        <v>27</v>
      </c>
      <c r="E27" s="9">
        <v>4.5</v>
      </c>
      <c r="F27" s="9">
        <v>32335</v>
      </c>
      <c r="G27" s="9">
        <v>31.83</v>
      </c>
      <c r="H27" s="9">
        <v>958947</v>
      </c>
      <c r="I27" s="9">
        <v>1.47E-2</v>
      </c>
      <c r="J27" s="9">
        <v>27588966</v>
      </c>
      <c r="K27" s="9">
        <v>57257647</v>
      </c>
      <c r="L27" s="10">
        <f t="shared" si="1"/>
        <v>1.2171815518415447E-2</v>
      </c>
      <c r="M27" s="10">
        <f t="shared" si="2"/>
        <v>1.1373909687655216E-2</v>
      </c>
      <c r="N27" s="10">
        <f t="shared" si="3"/>
        <v>1.5830477678131234E-2</v>
      </c>
      <c r="O27" s="10">
        <f t="shared" si="4"/>
        <v>1.6755955773395646E-2</v>
      </c>
      <c r="P27" s="10">
        <f t="shared" si="5"/>
        <v>1.6617353649747351E-2</v>
      </c>
      <c r="Q27" s="10">
        <f t="shared" si="6"/>
        <v>1.2812285098496081E-2</v>
      </c>
      <c r="R27" s="10">
        <f t="shared" si="0"/>
        <v>0</v>
      </c>
      <c r="S27" s="11">
        <f t="shared" si="7"/>
        <v>12.828780538851309</v>
      </c>
      <c r="T27" s="12">
        <v>3</v>
      </c>
      <c r="U27" s="13">
        <v>2</v>
      </c>
      <c r="V27" s="13">
        <v>1</v>
      </c>
      <c r="W27" s="14" t="s">
        <v>28</v>
      </c>
    </row>
    <row r="28" spans="1:23" ht="15" customHeight="1" x14ac:dyDescent="0.2">
      <c r="A28" s="8" t="s">
        <v>67</v>
      </c>
      <c r="B28" s="9" t="s">
        <v>68</v>
      </c>
      <c r="C28" s="9" t="s">
        <v>213</v>
      </c>
      <c r="D28" s="9" t="s">
        <v>27</v>
      </c>
      <c r="E28" s="9">
        <v>4.9000000000000004</v>
      </c>
      <c r="F28" s="9">
        <v>42698</v>
      </c>
      <c r="G28" s="9">
        <v>27.85</v>
      </c>
      <c r="H28" s="9">
        <v>1189348</v>
      </c>
      <c r="I28" s="9">
        <v>1.77E-2</v>
      </c>
      <c r="J28" s="9">
        <v>12221984</v>
      </c>
      <c r="K28" s="9">
        <v>27658411</v>
      </c>
      <c r="L28" s="10">
        <f t="shared" si="1"/>
        <v>1.607274405459418E-2</v>
      </c>
      <c r="M28" s="10">
        <f t="shared" si="2"/>
        <v>9.9517243104366247E-3</v>
      </c>
      <c r="N28" s="10">
        <f t="shared" si="3"/>
        <v>1.9633980778426784E-2</v>
      </c>
      <c r="O28" s="10">
        <f t="shared" si="4"/>
        <v>2.0175538584292718E-2</v>
      </c>
      <c r="P28" s="10">
        <f t="shared" si="5"/>
        <v>7.3615310711374147E-3</v>
      </c>
      <c r="Q28" s="10">
        <f t="shared" si="6"/>
        <v>6.1889977264238619E-3</v>
      </c>
      <c r="R28" s="10">
        <f t="shared" si="0"/>
        <v>0</v>
      </c>
      <c r="S28" s="11">
        <f t="shared" si="7"/>
        <v>11.985917236404189</v>
      </c>
      <c r="T28" s="12">
        <v>3</v>
      </c>
      <c r="U28" s="13">
        <v>1</v>
      </c>
      <c r="V28" s="13">
        <v>1</v>
      </c>
      <c r="W28" s="14" t="s">
        <v>28</v>
      </c>
    </row>
    <row r="29" spans="1:23" ht="15" customHeight="1" x14ac:dyDescent="0.2">
      <c r="A29" s="8" t="s">
        <v>69</v>
      </c>
      <c r="B29" s="9" t="s">
        <v>70</v>
      </c>
      <c r="C29" s="9" t="s">
        <v>209</v>
      </c>
      <c r="D29" s="9" t="s">
        <v>27</v>
      </c>
      <c r="E29" s="9">
        <v>4.9000000000000004</v>
      </c>
      <c r="F29" s="9">
        <v>33366</v>
      </c>
      <c r="G29" s="9">
        <v>24.24</v>
      </c>
      <c r="H29" s="9">
        <v>770055</v>
      </c>
      <c r="I29" s="9">
        <v>9.4999999999999998E-3</v>
      </c>
      <c r="J29" s="9">
        <v>31910505</v>
      </c>
      <c r="K29" s="9">
        <v>76730495</v>
      </c>
      <c r="L29" s="10">
        <f t="shared" si="1"/>
        <v>1.2559913300988088E-2</v>
      </c>
      <c r="M29" s="10">
        <f t="shared" si="2"/>
        <v>8.6617521466780516E-3</v>
      </c>
      <c r="N29" s="10">
        <f t="shared" si="3"/>
        <v>1.2712212967383335E-2</v>
      </c>
      <c r="O29" s="10">
        <f t="shared" si="4"/>
        <v>1.0828678901174057E-2</v>
      </c>
      <c r="P29" s="10">
        <f t="shared" si="5"/>
        <v>1.9220297952704392E-2</v>
      </c>
      <c r="Q29" s="10">
        <f t="shared" si="6"/>
        <v>1.7169636357720532E-2</v>
      </c>
      <c r="R29" s="10">
        <f t="shared" si="0"/>
        <v>0</v>
      </c>
      <c r="S29" s="11">
        <f t="shared" si="7"/>
        <v>12.17559737929205</v>
      </c>
      <c r="T29" s="12">
        <v>2</v>
      </c>
      <c r="U29" s="13">
        <v>1</v>
      </c>
      <c r="V29" s="13">
        <v>1</v>
      </c>
      <c r="W29" s="14" t="s">
        <v>28</v>
      </c>
    </row>
    <row r="30" spans="1:23" ht="15" customHeight="1" x14ac:dyDescent="0.2">
      <c r="A30" s="8" t="s">
        <v>71</v>
      </c>
      <c r="B30" s="9" t="s">
        <v>72</v>
      </c>
      <c r="C30" s="9" t="s">
        <v>213</v>
      </c>
      <c r="D30" s="9" t="s">
        <v>27</v>
      </c>
      <c r="E30" s="9">
        <v>6</v>
      </c>
      <c r="F30" s="9">
        <v>35889</v>
      </c>
      <c r="G30" s="9">
        <v>28.38</v>
      </c>
      <c r="H30" s="9">
        <v>1018492</v>
      </c>
      <c r="I30" s="9">
        <v>1.43E-2</v>
      </c>
      <c r="J30" s="9">
        <v>18150658</v>
      </c>
      <c r="K30" s="9">
        <v>64735523</v>
      </c>
      <c r="L30" s="10">
        <f t="shared" si="1"/>
        <v>1.3509642404218709E-2</v>
      </c>
      <c r="M30" s="10">
        <f t="shared" si="2"/>
        <v>1.0141110805392869E-2</v>
      </c>
      <c r="N30" s="10">
        <f t="shared" si="3"/>
        <v>1.6813457752467276E-2</v>
      </c>
      <c r="O30" s="10">
        <f t="shared" si="4"/>
        <v>1.6300011398609371E-2</v>
      </c>
      <c r="P30" s="10">
        <f t="shared" si="5"/>
        <v>1.0932483042735851E-2</v>
      </c>
      <c r="Q30" s="10">
        <f t="shared" si="6"/>
        <v>1.4485575641560161E-2</v>
      </c>
      <c r="R30" s="10">
        <f t="shared" si="0"/>
        <v>0</v>
      </c>
      <c r="S30" s="11">
        <f t="shared" si="7"/>
        <v>11.964978094647163</v>
      </c>
      <c r="T30" s="12">
        <v>3</v>
      </c>
      <c r="U30" s="13">
        <v>2</v>
      </c>
      <c r="V30" s="13">
        <v>1</v>
      </c>
      <c r="W30" s="14" t="s">
        <v>28</v>
      </c>
    </row>
    <row r="31" spans="1:23" ht="15" customHeight="1" x14ac:dyDescent="0.2">
      <c r="A31" s="8" t="s">
        <v>73</v>
      </c>
      <c r="B31" s="9" t="s">
        <v>74</v>
      </c>
      <c r="C31" s="9" t="s">
        <v>209</v>
      </c>
      <c r="D31" s="9" t="s">
        <v>27</v>
      </c>
      <c r="E31" s="9">
        <v>4.8</v>
      </c>
      <c r="F31" s="9">
        <v>55699</v>
      </c>
      <c r="G31" s="9">
        <v>11.37</v>
      </c>
      <c r="H31" s="9">
        <v>598544</v>
      </c>
      <c r="I31" s="9">
        <v>8.5000000000000006E-3</v>
      </c>
      <c r="J31" s="9">
        <v>24421721</v>
      </c>
      <c r="K31" s="9">
        <v>59488033</v>
      </c>
      <c r="L31" s="10">
        <f t="shared" si="1"/>
        <v>2.0966690971400092E-2</v>
      </c>
      <c r="M31" s="10">
        <f t="shared" si="2"/>
        <v>4.0628763163254727E-3</v>
      </c>
      <c r="N31" s="10">
        <f t="shared" si="3"/>
        <v>9.8808770780651929E-3</v>
      </c>
      <c r="O31" s="10">
        <f t="shared" si="4"/>
        <v>9.6888179642083683E-3</v>
      </c>
      <c r="P31" s="10">
        <f t="shared" si="5"/>
        <v>1.4709662355322107E-2</v>
      </c>
      <c r="Q31" s="10">
        <f t="shared" si="6"/>
        <v>1.3311368501481437E-2</v>
      </c>
      <c r="R31" s="10">
        <f t="shared" si="0"/>
        <v>0</v>
      </c>
      <c r="S31" s="11">
        <f t="shared" si="7"/>
        <v>11.670355814777553</v>
      </c>
      <c r="T31" s="12">
        <v>3</v>
      </c>
      <c r="U31" s="13">
        <v>1</v>
      </c>
      <c r="V31" s="13">
        <v>1</v>
      </c>
      <c r="W31" s="14" t="s">
        <v>28</v>
      </c>
    </row>
    <row r="32" spans="1:23" ht="15" customHeight="1" x14ac:dyDescent="0.2">
      <c r="A32" s="8" t="s">
        <v>75</v>
      </c>
      <c r="B32" s="9" t="s">
        <v>76</v>
      </c>
      <c r="C32" s="9"/>
      <c r="D32" s="9" t="s">
        <v>27</v>
      </c>
      <c r="E32" s="9">
        <v>5.6</v>
      </c>
      <c r="F32" s="9">
        <v>11100</v>
      </c>
      <c r="G32" s="9">
        <v>52.18</v>
      </c>
      <c r="H32" s="9">
        <v>550014</v>
      </c>
      <c r="I32" s="9">
        <v>7.1000000000000004E-3</v>
      </c>
      <c r="J32" s="9">
        <v>16236698</v>
      </c>
      <c r="K32" s="9">
        <v>195008633</v>
      </c>
      <c r="L32" s="10">
        <f t="shared" si="1"/>
        <v>4.1783563400158178E-3</v>
      </c>
      <c r="M32" s="10">
        <f t="shared" si="2"/>
        <v>1.8645636427956302E-2</v>
      </c>
      <c r="N32" s="10">
        <f t="shared" si="3"/>
        <v>9.0797346982259431E-3</v>
      </c>
      <c r="O32" s="10">
        <f t="shared" si="4"/>
        <v>8.0930126524564015E-3</v>
      </c>
      <c r="P32" s="10">
        <f t="shared" si="5"/>
        <v>9.7796688998835809E-3</v>
      </c>
      <c r="Q32" s="10">
        <f t="shared" si="6"/>
        <v>4.3636201163907262E-2</v>
      </c>
      <c r="R32" s="10">
        <f t="shared" si="0"/>
        <v>0</v>
      </c>
      <c r="S32" s="11">
        <f t="shared" si="7"/>
        <v>11.284839099777276</v>
      </c>
      <c r="T32" s="12">
        <v>3</v>
      </c>
      <c r="U32" s="13">
        <v>1</v>
      </c>
      <c r="V32" s="13">
        <v>1</v>
      </c>
      <c r="W32" s="14" t="s">
        <v>28</v>
      </c>
    </row>
    <row r="33" spans="1:23" ht="15" customHeight="1" x14ac:dyDescent="0.2">
      <c r="A33" s="8" t="s">
        <v>77</v>
      </c>
      <c r="B33" s="9" t="s">
        <v>78</v>
      </c>
      <c r="C33" s="9"/>
      <c r="D33" s="9" t="s">
        <v>27</v>
      </c>
      <c r="E33" s="9">
        <v>5.2</v>
      </c>
      <c r="F33" s="9">
        <v>27498</v>
      </c>
      <c r="G33" s="9">
        <v>38.21</v>
      </c>
      <c r="H33" s="9">
        <v>1050625</v>
      </c>
      <c r="I33" s="9">
        <v>1.4800000000000001E-2</v>
      </c>
      <c r="J33" s="9">
        <v>15235512</v>
      </c>
      <c r="K33" s="9">
        <v>38411853</v>
      </c>
      <c r="L33" s="10">
        <f t="shared" si="1"/>
        <v>1.0351030868266211E-2</v>
      </c>
      <c r="M33" s="10">
        <f t="shared" si="2"/>
        <v>1.3653694287317178E-2</v>
      </c>
      <c r="N33" s="10">
        <f t="shared" si="3"/>
        <v>1.7343915368197231E-2</v>
      </c>
      <c r="O33" s="10">
        <f t="shared" si="4"/>
        <v>1.6869941867092217E-2</v>
      </c>
      <c r="P33" s="10">
        <f t="shared" si="5"/>
        <v>9.1766357223742843E-3</v>
      </c>
      <c r="Q33" s="10">
        <f t="shared" si="6"/>
        <v>8.595246881128768E-3</v>
      </c>
      <c r="R33" s="10">
        <f t="shared" si="0"/>
        <v>0</v>
      </c>
      <c r="S33" s="11">
        <f t="shared" si="7"/>
        <v>11.113110645964857</v>
      </c>
      <c r="T33" s="12">
        <v>3</v>
      </c>
      <c r="U33" s="13">
        <v>2</v>
      </c>
      <c r="V33" s="13">
        <v>1</v>
      </c>
      <c r="W33" s="14" t="s">
        <v>28</v>
      </c>
    </row>
    <row r="34" spans="1:23" ht="15" customHeight="1" x14ac:dyDescent="0.2">
      <c r="A34" s="8" t="s">
        <v>79</v>
      </c>
      <c r="B34" s="9" t="s">
        <v>80</v>
      </c>
      <c r="C34" s="9"/>
      <c r="D34" s="9" t="s">
        <v>27</v>
      </c>
      <c r="E34" s="9">
        <v>4.9000000000000004</v>
      </c>
      <c r="F34" s="9">
        <v>33269</v>
      </c>
      <c r="G34" s="9">
        <v>23.56</v>
      </c>
      <c r="H34" s="9">
        <v>783732</v>
      </c>
      <c r="I34" s="9">
        <v>1.0200000000000001E-2</v>
      </c>
      <c r="J34" s="9">
        <v>23907668</v>
      </c>
      <c r="K34" s="9">
        <v>43927598</v>
      </c>
      <c r="L34" s="10">
        <f t="shared" si="1"/>
        <v>1.2523399736575336E-2</v>
      </c>
      <c r="M34" s="10">
        <f t="shared" si="2"/>
        <v>8.4187657003190978E-3</v>
      </c>
      <c r="N34" s="10">
        <f t="shared" si="3"/>
        <v>1.2937995459224701E-2</v>
      </c>
      <c r="O34" s="10">
        <f t="shared" si="4"/>
        <v>1.1626581557050042E-2</v>
      </c>
      <c r="P34" s="10">
        <f t="shared" si="5"/>
        <v>1.4400038555150924E-2</v>
      </c>
      <c r="Q34" s="10">
        <f t="shared" si="6"/>
        <v>9.8294802311405891E-3</v>
      </c>
      <c r="R34" s="10">
        <f t="shared" si="0"/>
        <v>0</v>
      </c>
      <c r="S34" s="11">
        <f t="shared" si="7"/>
        <v>10.722115706095847</v>
      </c>
      <c r="T34" s="12">
        <v>3</v>
      </c>
      <c r="U34" s="13">
        <v>1</v>
      </c>
      <c r="V34" s="13">
        <v>1</v>
      </c>
      <c r="W34" s="14" t="s">
        <v>28</v>
      </c>
    </row>
    <row r="35" spans="1:23" ht="15" customHeight="1" x14ac:dyDescent="0.2">
      <c r="A35" s="8" t="s">
        <v>81</v>
      </c>
      <c r="B35" s="9" t="s">
        <v>82</v>
      </c>
      <c r="C35" s="9"/>
      <c r="D35" s="9" t="s">
        <v>27</v>
      </c>
      <c r="E35" s="9">
        <v>4.9000000000000004</v>
      </c>
      <c r="F35" s="9">
        <v>31527</v>
      </c>
      <c r="G35" s="9">
        <v>33.479999999999997</v>
      </c>
      <c r="H35" s="9">
        <v>1055563</v>
      </c>
      <c r="I35" s="9">
        <v>1.26E-2</v>
      </c>
      <c r="J35" s="9">
        <v>15715696</v>
      </c>
      <c r="K35" s="9">
        <v>21394274</v>
      </c>
      <c r="L35" s="10">
        <f t="shared" si="1"/>
        <v>1.1867661291142223E-2</v>
      </c>
      <c r="M35" s="10">
        <f t="shared" si="2"/>
        <v>1.1963509153085033E-2</v>
      </c>
      <c r="N35" s="10">
        <f t="shared" si="3"/>
        <v>1.7425432802189528E-2</v>
      </c>
      <c r="O35" s="10">
        <f t="shared" si="4"/>
        <v>1.4362247805767697E-2</v>
      </c>
      <c r="P35" s="10">
        <f t="shared" si="5"/>
        <v>9.4658595861809337E-3</v>
      </c>
      <c r="Q35" s="10">
        <f t="shared" si="6"/>
        <v>4.7873000782470525E-3</v>
      </c>
      <c r="R35" s="10">
        <f t="shared" si="0"/>
        <v>0</v>
      </c>
      <c r="S35" s="11">
        <f t="shared" si="7"/>
        <v>10.578448231594102</v>
      </c>
      <c r="T35" s="12">
        <v>3</v>
      </c>
      <c r="U35" s="13">
        <v>1</v>
      </c>
      <c r="V35" s="13">
        <v>1</v>
      </c>
      <c r="W35" s="14" t="s">
        <v>28</v>
      </c>
    </row>
    <row r="36" spans="1:23" ht="15" customHeight="1" x14ac:dyDescent="0.2">
      <c r="A36" s="8" t="s">
        <v>83</v>
      </c>
      <c r="B36" s="9" t="s">
        <v>84</v>
      </c>
      <c r="C36" s="9"/>
      <c r="D36" s="9" t="s">
        <v>27</v>
      </c>
      <c r="E36" s="9">
        <v>6</v>
      </c>
      <c r="F36" s="9">
        <v>30051</v>
      </c>
      <c r="G36" s="9">
        <v>26.94</v>
      </c>
      <c r="H36" s="9">
        <v>809721</v>
      </c>
      <c r="I36" s="9">
        <v>1.1900000000000001E-2</v>
      </c>
      <c r="J36" s="9">
        <v>17275882</v>
      </c>
      <c r="K36" s="9">
        <v>58335945</v>
      </c>
      <c r="L36" s="10">
        <f t="shared" si="1"/>
        <v>1.131205282646985E-2</v>
      </c>
      <c r="M36" s="10">
        <f t="shared" si="2"/>
        <v>9.6265512719268462E-3</v>
      </c>
      <c r="N36" s="10">
        <f t="shared" si="3"/>
        <v>1.3367026765831794E-2</v>
      </c>
      <c r="O36" s="10">
        <f t="shared" si="4"/>
        <v>1.3564345149891714E-2</v>
      </c>
      <c r="P36" s="10">
        <f t="shared" si="5"/>
        <v>1.0405588988195663E-2</v>
      </c>
      <c r="Q36" s="10">
        <f t="shared" si="6"/>
        <v>1.305357097245346E-2</v>
      </c>
      <c r="R36" s="10">
        <f t="shared" si="0"/>
        <v>0</v>
      </c>
      <c r="S36" s="11">
        <f t="shared" si="7"/>
        <v>10.42939223711474</v>
      </c>
      <c r="T36" s="12">
        <v>4</v>
      </c>
      <c r="U36" s="13">
        <v>2</v>
      </c>
      <c r="V36" s="13">
        <v>1</v>
      </c>
      <c r="W36" s="14" t="s">
        <v>28</v>
      </c>
    </row>
    <row r="37" spans="1:23" ht="15" customHeight="1" x14ac:dyDescent="0.2">
      <c r="A37" s="8" t="s">
        <v>85</v>
      </c>
      <c r="B37" s="9" t="s">
        <v>86</v>
      </c>
      <c r="C37" s="9"/>
      <c r="D37" s="9" t="s">
        <v>27</v>
      </c>
      <c r="E37" s="9">
        <v>4.5</v>
      </c>
      <c r="F37" s="9">
        <v>33637</v>
      </c>
      <c r="G37" s="9">
        <v>28.53</v>
      </c>
      <c r="H37" s="9">
        <v>900264</v>
      </c>
      <c r="I37" s="9">
        <v>1.4500000000000001E-2</v>
      </c>
      <c r="J37" s="9">
        <v>14028383</v>
      </c>
      <c r="K37" s="9">
        <v>15547310</v>
      </c>
      <c r="L37" s="10">
        <f t="shared" si="1"/>
        <v>1.266192542424433E-2</v>
      </c>
      <c r="M37" s="10">
        <f t="shared" si="2"/>
        <v>1.019471075679558E-2</v>
      </c>
      <c r="N37" s="10">
        <f t="shared" si="3"/>
        <v>1.4861727662138927E-2</v>
      </c>
      <c r="O37" s="10">
        <f t="shared" si="4"/>
        <v>1.652798358600251E-2</v>
      </c>
      <c r="P37" s="10">
        <f t="shared" si="5"/>
        <v>8.4495591985978627E-3</v>
      </c>
      <c r="Q37" s="10">
        <f t="shared" si="6"/>
        <v>3.4789513483622389E-3</v>
      </c>
      <c r="R37" s="10">
        <f t="shared" si="0"/>
        <v>0</v>
      </c>
      <c r="S37" s="11">
        <f t="shared" si="7"/>
        <v>10.248428458555908</v>
      </c>
      <c r="T37" s="12">
        <v>4</v>
      </c>
      <c r="U37" s="13">
        <v>2</v>
      </c>
      <c r="V37" s="13">
        <v>1</v>
      </c>
      <c r="W37" s="14" t="s">
        <v>28</v>
      </c>
    </row>
    <row r="38" spans="1:23" ht="15" customHeight="1" x14ac:dyDescent="0.2">
      <c r="A38" s="8" t="s">
        <v>87</v>
      </c>
      <c r="B38" s="9" t="s">
        <v>88</v>
      </c>
      <c r="C38" s="9"/>
      <c r="D38" s="9" t="s">
        <v>27</v>
      </c>
      <c r="E38" s="9">
        <v>5.2</v>
      </c>
      <c r="F38" s="9">
        <v>28679</v>
      </c>
      <c r="G38" s="9">
        <v>21.34</v>
      </c>
      <c r="H38" s="9">
        <v>611932</v>
      </c>
      <c r="I38" s="9">
        <v>7.4999999999999997E-3</v>
      </c>
      <c r="J38" s="9">
        <v>22463216</v>
      </c>
      <c r="K38" s="9">
        <v>50401122</v>
      </c>
      <c r="L38" s="10">
        <f t="shared" si="1"/>
        <v>1.079559292570393E-2</v>
      </c>
      <c r="M38" s="10">
        <f t="shared" si="2"/>
        <v>7.6254864195589786E-3</v>
      </c>
      <c r="N38" s="10">
        <f t="shared" si="3"/>
        <v>1.0101888703478088E-2</v>
      </c>
      <c r="O38" s="10">
        <f t="shared" si="4"/>
        <v>8.5489570272426763E-3</v>
      </c>
      <c r="P38" s="10">
        <f t="shared" si="5"/>
        <v>1.3530017920304192E-2</v>
      </c>
      <c r="Q38" s="10">
        <f t="shared" si="6"/>
        <v>1.1278031462733405E-2</v>
      </c>
      <c r="R38" s="10">
        <f t="shared" si="0"/>
        <v>0</v>
      </c>
      <c r="S38" s="11">
        <f t="shared" si="7"/>
        <v>9.4196319321024315</v>
      </c>
      <c r="T38" s="12">
        <v>3</v>
      </c>
      <c r="U38" s="13">
        <v>1</v>
      </c>
      <c r="V38" s="13">
        <v>1</v>
      </c>
      <c r="W38" s="14" t="s">
        <v>28</v>
      </c>
    </row>
    <row r="39" spans="1:23" ht="15" customHeight="1" x14ac:dyDescent="0.2">
      <c r="A39" s="8" t="s">
        <v>89</v>
      </c>
      <c r="B39" s="9" t="s">
        <v>90</v>
      </c>
      <c r="C39" s="9"/>
      <c r="D39" s="9" t="s">
        <v>27</v>
      </c>
      <c r="E39" s="9">
        <v>9</v>
      </c>
      <c r="F39" s="9">
        <v>6807</v>
      </c>
      <c r="G39" s="9">
        <v>71.959999999999994</v>
      </c>
      <c r="H39" s="9">
        <v>489823</v>
      </c>
      <c r="I39" s="9">
        <v>6.7000000000000002E-3</v>
      </c>
      <c r="J39" s="9">
        <v>17076813</v>
      </c>
      <c r="K39" s="9">
        <v>66324356</v>
      </c>
      <c r="L39" s="10">
        <f t="shared" si="1"/>
        <v>2.5623487933772674E-3</v>
      </c>
      <c r="M39" s="10">
        <f t="shared" si="2"/>
        <v>2.5713683352927088E-2</v>
      </c>
      <c r="N39" s="10">
        <f t="shared" si="3"/>
        <v>8.0860903342262671E-3</v>
      </c>
      <c r="O39" s="10">
        <f t="shared" si="4"/>
        <v>7.6370682776701251E-3</v>
      </c>
      <c r="P39" s="10">
        <f t="shared" si="5"/>
        <v>1.028568598154795E-2</v>
      </c>
      <c r="Q39" s="10">
        <f t="shared" si="6"/>
        <v>1.4841101626934637E-2</v>
      </c>
      <c r="R39" s="10">
        <f t="shared" si="0"/>
        <v>0</v>
      </c>
      <c r="S39" s="11">
        <f t="shared" si="7"/>
        <v>9.6193638390195684</v>
      </c>
      <c r="T39" s="12">
        <v>2</v>
      </c>
      <c r="U39" s="13">
        <v>1</v>
      </c>
      <c r="V39" s="13">
        <v>1</v>
      </c>
      <c r="W39" s="14" t="s">
        <v>28</v>
      </c>
    </row>
    <row r="40" spans="1:23" ht="15" customHeight="1" x14ac:dyDescent="0.2">
      <c r="A40" s="8" t="s">
        <v>91</v>
      </c>
      <c r="B40" s="9" t="s">
        <v>92</v>
      </c>
      <c r="C40" s="9"/>
      <c r="D40" s="9" t="s">
        <v>27</v>
      </c>
      <c r="E40" s="9">
        <v>4.8</v>
      </c>
      <c r="F40" s="9">
        <v>57850</v>
      </c>
      <c r="G40" s="9">
        <v>6.98</v>
      </c>
      <c r="H40" s="9">
        <v>376083</v>
      </c>
      <c r="I40" s="9">
        <v>6.7999999999999996E-3</v>
      </c>
      <c r="J40" s="9">
        <v>12617897</v>
      </c>
      <c r="K40" s="9">
        <v>35592012</v>
      </c>
      <c r="L40" s="10">
        <f t="shared" si="1"/>
        <v>2.177638867296532E-2</v>
      </c>
      <c r="M40" s="10">
        <f t="shared" si="2"/>
        <v>2.4941844052728058E-3</v>
      </c>
      <c r="N40" s="10">
        <f t="shared" si="3"/>
        <v>6.2084489931400061E-3</v>
      </c>
      <c r="O40" s="10">
        <f t="shared" si="4"/>
        <v>7.7510543713666929E-3</v>
      </c>
      <c r="P40" s="10">
        <f t="shared" si="5"/>
        <v>7.5999969250419228E-3</v>
      </c>
      <c r="Q40" s="10">
        <f t="shared" si="6"/>
        <v>7.9642637947223652E-3</v>
      </c>
      <c r="R40" s="10">
        <f t="shared" si="0"/>
        <v>0</v>
      </c>
      <c r="S40" s="11">
        <f t="shared" si="7"/>
        <v>9.105576712448471</v>
      </c>
      <c r="T40" s="12">
        <v>3</v>
      </c>
      <c r="U40" s="13">
        <v>1</v>
      </c>
      <c r="V40" s="13">
        <v>1</v>
      </c>
      <c r="W40" s="14" t="s">
        <v>28</v>
      </c>
    </row>
    <row r="41" spans="1:23" ht="15" customHeight="1" x14ac:dyDescent="0.2">
      <c r="A41" s="8" t="s">
        <v>93</v>
      </c>
      <c r="B41" s="9" t="s">
        <v>94</v>
      </c>
      <c r="C41" s="9"/>
      <c r="D41" s="9" t="s">
        <v>27</v>
      </c>
      <c r="E41" s="9">
        <v>4.5</v>
      </c>
      <c r="F41" s="9">
        <v>27295</v>
      </c>
      <c r="G41" s="9">
        <v>17.510000000000002</v>
      </c>
      <c r="H41" s="9">
        <v>447697</v>
      </c>
      <c r="I41" s="9">
        <v>7.4000000000000003E-3</v>
      </c>
      <c r="J41" s="9">
        <v>17367662</v>
      </c>
      <c r="K41" s="9">
        <v>87551774</v>
      </c>
      <c r="L41" s="10">
        <f t="shared" si="1"/>
        <v>1.0274615882948805E-2</v>
      </c>
      <c r="M41" s="10">
        <f t="shared" si="2"/>
        <v>6.2569009937430992E-3</v>
      </c>
      <c r="N41" s="10">
        <f t="shared" si="3"/>
        <v>7.3906663924766637E-3</v>
      </c>
      <c r="O41" s="10">
        <f t="shared" si="4"/>
        <v>8.4349709335461084E-3</v>
      </c>
      <c r="P41" s="10">
        <f t="shared" si="5"/>
        <v>1.0460869810172602E-2</v>
      </c>
      <c r="Q41" s="10">
        <f t="shared" si="6"/>
        <v>1.9591065091569281E-2</v>
      </c>
      <c r="R41" s="10">
        <f t="shared" si="0"/>
        <v>0</v>
      </c>
      <c r="S41" s="11">
        <f t="shared" si="7"/>
        <v>8.8627220919498466</v>
      </c>
      <c r="T41" s="12">
        <v>3</v>
      </c>
      <c r="U41" s="13">
        <v>1</v>
      </c>
      <c r="V41" s="13">
        <v>1</v>
      </c>
      <c r="W41" s="14" t="s">
        <v>28</v>
      </c>
    </row>
    <row r="42" spans="1:23" ht="15" customHeight="1" x14ac:dyDescent="0.2">
      <c r="A42" s="8" t="s">
        <v>95</v>
      </c>
      <c r="B42" s="9" t="s">
        <v>96</v>
      </c>
      <c r="C42" s="9"/>
      <c r="D42" s="9" t="s">
        <v>27</v>
      </c>
      <c r="E42" s="9">
        <v>9</v>
      </c>
      <c r="F42" s="9">
        <v>5939</v>
      </c>
      <c r="G42" s="9">
        <v>72.33</v>
      </c>
      <c r="H42" s="9">
        <v>401353</v>
      </c>
      <c r="I42" s="9">
        <v>5.8999999999999999E-3</v>
      </c>
      <c r="J42" s="9">
        <v>14621461</v>
      </c>
      <c r="K42" s="9">
        <v>58234906</v>
      </c>
      <c r="L42" s="10">
        <f t="shared" si="1"/>
        <v>2.2356088561580126E-3</v>
      </c>
      <c r="M42" s="10">
        <f t="shared" si="2"/>
        <v>2.5845896566387111E-2</v>
      </c>
      <c r="N42" s="10">
        <f t="shared" si="3"/>
        <v>6.6256109123350986E-3</v>
      </c>
      <c r="O42" s="10">
        <f t="shared" si="4"/>
        <v>6.7251795280975721E-3</v>
      </c>
      <c r="P42" s="10">
        <f t="shared" si="5"/>
        <v>8.8067812441027533E-3</v>
      </c>
      <c r="Q42" s="10">
        <f t="shared" si="6"/>
        <v>1.3030961931707044E-2</v>
      </c>
      <c r="R42" s="10">
        <f t="shared" si="0"/>
        <v>0</v>
      </c>
      <c r="S42" s="11">
        <f t="shared" si="7"/>
        <v>8.8438896571180905</v>
      </c>
      <c r="T42" s="12">
        <v>3</v>
      </c>
      <c r="U42" s="13">
        <v>1</v>
      </c>
      <c r="V42" s="13">
        <v>1</v>
      </c>
      <c r="W42" s="14" t="s">
        <v>28</v>
      </c>
    </row>
    <row r="43" spans="1:23" ht="15" customHeight="1" x14ac:dyDescent="0.2">
      <c r="A43" s="8" t="s">
        <v>97</v>
      </c>
      <c r="B43" s="9" t="s">
        <v>98</v>
      </c>
      <c r="C43" s="9"/>
      <c r="D43" s="9" t="s">
        <v>27</v>
      </c>
      <c r="E43" s="9">
        <v>10</v>
      </c>
      <c r="F43" s="9">
        <v>5006</v>
      </c>
      <c r="G43" s="9">
        <v>108.65</v>
      </c>
      <c r="H43" s="9">
        <v>543927</v>
      </c>
      <c r="I43" s="9">
        <v>5.7999999999999996E-3</v>
      </c>
      <c r="J43" s="9">
        <v>2710664</v>
      </c>
      <c r="K43" s="9">
        <v>10037955</v>
      </c>
      <c r="L43" s="10">
        <f t="shared" si="1"/>
        <v>1.8844010664972237E-3</v>
      </c>
      <c r="M43" s="10">
        <f t="shared" si="2"/>
        <v>3.8824231466030139E-2</v>
      </c>
      <c r="N43" s="10">
        <f t="shared" si="3"/>
        <v>8.9792493558381106E-3</v>
      </c>
      <c r="O43" s="10">
        <f t="shared" si="4"/>
        <v>6.6111934344010026E-3</v>
      </c>
      <c r="P43" s="10">
        <f t="shared" si="5"/>
        <v>1.6326839619012453E-3</v>
      </c>
      <c r="Q43" s="10">
        <f t="shared" si="6"/>
        <v>2.2461478597937184E-3</v>
      </c>
      <c r="R43" s="10">
        <f t="shared" si="0"/>
        <v>0</v>
      </c>
      <c r="S43" s="11">
        <f t="shared" si="7"/>
        <v>8.6340355264416182</v>
      </c>
      <c r="T43" s="12">
        <v>2</v>
      </c>
      <c r="U43" s="13">
        <v>1</v>
      </c>
      <c r="V43" s="13">
        <v>1</v>
      </c>
      <c r="W43" s="14" t="s">
        <v>28</v>
      </c>
    </row>
    <row r="44" spans="1:23" ht="15" customHeight="1" x14ac:dyDescent="0.2">
      <c r="A44" s="8" t="s">
        <v>99</v>
      </c>
      <c r="B44" s="9" t="s">
        <v>100</v>
      </c>
      <c r="C44" s="9"/>
      <c r="D44" s="9" t="s">
        <v>27</v>
      </c>
      <c r="E44" s="9">
        <v>4.9000000000000004</v>
      </c>
      <c r="F44" s="9">
        <v>16645</v>
      </c>
      <c r="G44" s="9">
        <v>36.5</v>
      </c>
      <c r="H44" s="9">
        <v>607542</v>
      </c>
      <c r="I44" s="9">
        <v>7.7999999999999996E-3</v>
      </c>
      <c r="J44" s="9">
        <v>12851266</v>
      </c>
      <c r="K44" s="9">
        <v>45347176</v>
      </c>
      <c r="L44" s="10">
        <f t="shared" si="1"/>
        <v>6.265652367528224E-3</v>
      </c>
      <c r="M44" s="10">
        <f t="shared" si="2"/>
        <v>1.3042654841326277E-2</v>
      </c>
      <c r="N44" s="10">
        <f t="shared" si="3"/>
        <v>1.0029417756692713E-2</v>
      </c>
      <c r="O44" s="10">
        <f t="shared" si="4"/>
        <v>8.8909153083323832E-3</v>
      </c>
      <c r="P44" s="10">
        <f t="shared" si="5"/>
        <v>7.7405594674687713E-3</v>
      </c>
      <c r="Q44" s="10">
        <f t="shared" si="6"/>
        <v>1.0147132789506337E-2</v>
      </c>
      <c r="R44" s="10">
        <f t="shared" si="0"/>
        <v>0</v>
      </c>
      <c r="S44" s="11">
        <f t="shared" si="7"/>
        <v>8.0313033356285413</v>
      </c>
      <c r="T44" s="12">
        <v>3</v>
      </c>
      <c r="U44" s="13">
        <v>1</v>
      </c>
      <c r="V44" s="13">
        <v>1</v>
      </c>
      <c r="W44" s="14" t="s">
        <v>28</v>
      </c>
    </row>
    <row r="45" spans="1:23" ht="15" customHeight="1" x14ac:dyDescent="0.2">
      <c r="A45" s="8" t="s">
        <v>101</v>
      </c>
      <c r="B45" s="9" t="s">
        <v>102</v>
      </c>
      <c r="C45" s="9"/>
      <c r="D45" s="9" t="s">
        <v>27</v>
      </c>
      <c r="E45" s="9">
        <v>4.7</v>
      </c>
      <c r="F45" s="9">
        <v>25569</v>
      </c>
      <c r="G45" s="9">
        <v>25.72</v>
      </c>
      <c r="H45" s="9">
        <v>657685</v>
      </c>
      <c r="I45" s="9">
        <v>8.2000000000000007E-3</v>
      </c>
      <c r="J45" s="9">
        <v>12521093</v>
      </c>
      <c r="K45" s="9">
        <v>12067544</v>
      </c>
      <c r="L45" s="10">
        <f t="shared" si="1"/>
        <v>9.6249002935013001E-3</v>
      </c>
      <c r="M45" s="10">
        <f t="shared" si="2"/>
        <v>9.1906050005181317E-3</v>
      </c>
      <c r="N45" s="10">
        <f t="shared" si="3"/>
        <v>1.085718784431438E-2</v>
      </c>
      <c r="O45" s="10">
        <f t="shared" si="4"/>
        <v>9.3468596831186614E-3</v>
      </c>
      <c r="P45" s="10">
        <f t="shared" si="5"/>
        <v>7.5416900532762265E-3</v>
      </c>
      <c r="Q45" s="10">
        <f t="shared" si="6"/>
        <v>2.7002998248713537E-3</v>
      </c>
      <c r="R45" s="10">
        <f t="shared" si="0"/>
        <v>0</v>
      </c>
      <c r="S45" s="11">
        <f t="shared" si="7"/>
        <v>7.7081785481921967</v>
      </c>
      <c r="T45" s="12">
        <v>2</v>
      </c>
      <c r="U45" s="13">
        <v>1</v>
      </c>
      <c r="V45" s="13">
        <v>1</v>
      </c>
      <c r="W45" s="14" t="s">
        <v>28</v>
      </c>
    </row>
    <row r="46" spans="1:23" ht="15" customHeight="1" x14ac:dyDescent="0.2">
      <c r="A46" s="8" t="s">
        <v>103</v>
      </c>
      <c r="B46" s="9" t="s">
        <v>104</v>
      </c>
      <c r="C46" s="9"/>
      <c r="D46" s="9" t="s">
        <v>27</v>
      </c>
      <c r="E46" s="9">
        <v>10.4</v>
      </c>
      <c r="F46" s="9">
        <v>6354</v>
      </c>
      <c r="G46" s="9">
        <v>87.76</v>
      </c>
      <c r="H46" s="9">
        <v>557659</v>
      </c>
      <c r="I46" s="9">
        <v>6.6E-3</v>
      </c>
      <c r="J46" s="9">
        <v>1656943</v>
      </c>
      <c r="K46" s="9">
        <v>3861010</v>
      </c>
      <c r="L46" s="10">
        <f t="shared" si="1"/>
        <v>2.3918266832847301E-3</v>
      </c>
      <c r="M46" s="10">
        <f t="shared" si="2"/>
        <v>3.1359544900679291E-2</v>
      </c>
      <c r="N46" s="10">
        <f t="shared" si="3"/>
        <v>9.2059397980378335E-3</v>
      </c>
      <c r="O46" s="10">
        <f t="shared" si="4"/>
        <v>7.5230821839735555E-3</v>
      </c>
      <c r="P46" s="10">
        <f t="shared" si="5"/>
        <v>9.9800796479553901E-4</v>
      </c>
      <c r="Q46" s="10">
        <f t="shared" si="6"/>
        <v>8.6396077170520732E-4</v>
      </c>
      <c r="R46" s="10">
        <f t="shared" si="0"/>
        <v>0</v>
      </c>
      <c r="S46" s="11">
        <f t="shared" si="7"/>
        <v>7.5479083675198746</v>
      </c>
      <c r="T46" s="12">
        <v>3</v>
      </c>
      <c r="U46" s="13">
        <v>1</v>
      </c>
      <c r="V46" s="13">
        <v>1</v>
      </c>
      <c r="W46" s="14" t="s">
        <v>28</v>
      </c>
    </row>
    <row r="47" spans="1:23" ht="15" customHeight="1" x14ac:dyDescent="0.2">
      <c r="A47" s="8" t="s">
        <v>105</v>
      </c>
      <c r="B47" s="9" t="s">
        <v>106</v>
      </c>
      <c r="C47" s="9"/>
      <c r="D47" s="9" t="s">
        <v>27</v>
      </c>
      <c r="E47" s="9">
        <v>4.9000000000000004</v>
      </c>
      <c r="F47" s="9">
        <v>6183</v>
      </c>
      <c r="G47" s="9">
        <v>50.98</v>
      </c>
      <c r="H47" s="9">
        <v>315235</v>
      </c>
      <c r="I47" s="9">
        <v>4.1000000000000003E-3</v>
      </c>
      <c r="J47" s="9">
        <v>7442940</v>
      </c>
      <c r="K47" s="9">
        <v>103548400</v>
      </c>
      <c r="L47" s="10">
        <f t="shared" si="1"/>
        <v>2.3274574099385404E-3</v>
      </c>
      <c r="M47" s="10">
        <f t="shared" si="2"/>
        <v>1.8216836816734618E-2</v>
      </c>
      <c r="N47" s="10">
        <f t="shared" si="3"/>
        <v>5.203958749405024E-3</v>
      </c>
      <c r="O47" s="10">
        <f t="shared" si="4"/>
        <v>4.6734298415593307E-3</v>
      </c>
      <c r="P47" s="10">
        <f t="shared" si="5"/>
        <v>4.4830228930598758E-3</v>
      </c>
      <c r="Q47" s="10">
        <f t="shared" si="6"/>
        <v>2.3170557852178444E-2</v>
      </c>
      <c r="R47" s="10">
        <f t="shared" si="0"/>
        <v>0</v>
      </c>
      <c r="S47" s="11">
        <f t="shared" si="7"/>
        <v>7.2162257106573238</v>
      </c>
      <c r="T47" s="12">
        <v>3</v>
      </c>
      <c r="U47" s="13">
        <v>1</v>
      </c>
      <c r="V47" s="13">
        <v>1</v>
      </c>
      <c r="W47" s="14" t="s">
        <v>28</v>
      </c>
    </row>
    <row r="48" spans="1:23" ht="15" customHeight="1" x14ac:dyDescent="0.2">
      <c r="A48" s="8" t="s">
        <v>107</v>
      </c>
      <c r="B48" s="9" t="s">
        <v>108</v>
      </c>
      <c r="C48" s="9"/>
      <c r="D48" s="9" t="s">
        <v>27</v>
      </c>
      <c r="E48" s="9">
        <v>5</v>
      </c>
      <c r="F48" s="9">
        <v>29113</v>
      </c>
      <c r="G48" s="9">
        <v>27</v>
      </c>
      <c r="H48" s="9">
        <v>742231</v>
      </c>
      <c r="I48" s="9">
        <v>1.0699999999999999E-2</v>
      </c>
      <c r="J48" s="9">
        <v>0</v>
      </c>
      <c r="K48" s="9">
        <v>169101</v>
      </c>
      <c r="L48" s="10">
        <f t="shared" si="1"/>
        <v>1.0958962894313558E-2</v>
      </c>
      <c r="M48" s="10">
        <f t="shared" si="2"/>
        <v>9.6479912524879297E-3</v>
      </c>
      <c r="N48" s="10">
        <f t="shared" si="3"/>
        <v>1.2252889135183721E-2</v>
      </c>
      <c r="O48" s="10">
        <f t="shared" si="4"/>
        <v>1.2196512025532884E-2</v>
      </c>
      <c r="P48" s="10">
        <f t="shared" si="5"/>
        <v>0</v>
      </c>
      <c r="Q48" s="10">
        <f t="shared" si="6"/>
        <v>3.7838967124177942E-5</v>
      </c>
      <c r="R48" s="10">
        <f t="shared" si="0"/>
        <v>0</v>
      </c>
      <c r="S48" s="11">
        <f t="shared" si="7"/>
        <v>6.9159633593404113</v>
      </c>
      <c r="T48" s="12">
        <v>3</v>
      </c>
      <c r="U48" s="13">
        <v>1</v>
      </c>
      <c r="V48" s="13">
        <v>1</v>
      </c>
      <c r="W48" s="14" t="s">
        <v>28</v>
      </c>
    </row>
    <row r="49" spans="1:23" ht="15" customHeight="1" x14ac:dyDescent="0.2">
      <c r="A49" s="8" t="s">
        <v>109</v>
      </c>
      <c r="B49" s="9" t="s">
        <v>110</v>
      </c>
      <c r="C49" s="9"/>
      <c r="D49" s="9" t="s">
        <v>27</v>
      </c>
      <c r="E49" s="9">
        <v>9</v>
      </c>
      <c r="F49" s="9">
        <v>3018</v>
      </c>
      <c r="G49" s="9">
        <v>83.03</v>
      </c>
      <c r="H49" s="9">
        <v>234974</v>
      </c>
      <c r="I49" s="9">
        <v>3.3E-3</v>
      </c>
      <c r="J49" s="9">
        <v>8453201</v>
      </c>
      <c r="K49" s="9">
        <v>37743997</v>
      </c>
      <c r="L49" s="10">
        <f t="shared" si="1"/>
        <v>1.1360612102853818E-3</v>
      </c>
      <c r="M49" s="10">
        <f t="shared" si="2"/>
        <v>2.9669359766447145E-2</v>
      </c>
      <c r="N49" s="10">
        <f t="shared" si="3"/>
        <v>3.8789950455460089E-3</v>
      </c>
      <c r="O49" s="10">
        <f t="shared" si="4"/>
        <v>3.7615410919867778E-3</v>
      </c>
      <c r="P49" s="10">
        <f t="shared" si="5"/>
        <v>5.0915221139276462E-3</v>
      </c>
      <c r="Q49" s="10">
        <f t="shared" si="6"/>
        <v>8.4458037599900102E-3</v>
      </c>
      <c r="R49" s="10">
        <f t="shared" si="0"/>
        <v>0</v>
      </c>
      <c r="S49" s="11">
        <f t="shared" si="7"/>
        <v>7.3464368231672044</v>
      </c>
      <c r="T49" s="12">
        <v>3</v>
      </c>
      <c r="U49" s="13">
        <v>1</v>
      </c>
      <c r="V49" s="13">
        <v>1</v>
      </c>
      <c r="W49" s="14" t="s">
        <v>28</v>
      </c>
    </row>
    <row r="50" spans="1:23" ht="15" customHeight="1" x14ac:dyDescent="0.2">
      <c r="A50" s="8" t="s">
        <v>111</v>
      </c>
      <c r="B50" s="9" t="s">
        <v>112</v>
      </c>
      <c r="C50" s="9"/>
      <c r="D50" s="9" t="s">
        <v>27</v>
      </c>
      <c r="E50" s="9">
        <v>5.2</v>
      </c>
      <c r="F50" s="9">
        <v>18300</v>
      </c>
      <c r="G50" s="9">
        <v>33.06</v>
      </c>
      <c r="H50" s="9">
        <v>515553</v>
      </c>
      <c r="I50" s="9">
        <v>7.3000000000000001E-3</v>
      </c>
      <c r="J50" s="9">
        <v>11157760</v>
      </c>
      <c r="K50" s="9">
        <v>11706129</v>
      </c>
      <c r="L50" s="10">
        <f t="shared" si="1"/>
        <v>6.888641533539591E-3</v>
      </c>
      <c r="M50" s="10">
        <f t="shared" si="2"/>
        <v>1.1813429289157445E-2</v>
      </c>
      <c r="N50" s="10">
        <f t="shared" si="3"/>
        <v>8.5108460200549064E-3</v>
      </c>
      <c r="O50" s="10">
        <f t="shared" si="4"/>
        <v>8.3209848398495389E-3</v>
      </c>
      <c r="P50" s="10">
        <f t="shared" si="5"/>
        <v>6.720528919387736E-3</v>
      </c>
      <c r="Q50" s="10">
        <f t="shared" si="6"/>
        <v>2.6194276224409435E-3</v>
      </c>
      <c r="R50" s="10">
        <f t="shared" si="0"/>
        <v>0</v>
      </c>
      <c r="S50" s="11">
        <f t="shared" si="7"/>
        <v>6.9404078524080699</v>
      </c>
      <c r="T50" s="12">
        <v>3</v>
      </c>
      <c r="U50" s="13">
        <v>1</v>
      </c>
      <c r="V50" s="13">
        <v>1</v>
      </c>
      <c r="W50" s="14" t="s">
        <v>28</v>
      </c>
    </row>
    <row r="51" spans="1:23" ht="15" customHeight="1" x14ac:dyDescent="0.2">
      <c r="A51" s="8" t="s">
        <v>113</v>
      </c>
      <c r="B51" s="9" t="s">
        <v>114</v>
      </c>
      <c r="C51" s="9"/>
      <c r="D51" s="9" t="s">
        <v>27</v>
      </c>
      <c r="E51" s="9">
        <v>8</v>
      </c>
      <c r="F51" s="9">
        <v>5124</v>
      </c>
      <c r="G51" s="9">
        <v>58.13</v>
      </c>
      <c r="H51" s="9">
        <v>283693</v>
      </c>
      <c r="I51" s="9">
        <v>3.5000000000000001E-3</v>
      </c>
      <c r="J51" s="9">
        <v>6824655</v>
      </c>
      <c r="K51" s="9">
        <v>72680867</v>
      </c>
      <c r="L51" s="10">
        <f t="shared" si="1"/>
        <v>1.9288196293910855E-3</v>
      </c>
      <c r="M51" s="10">
        <f t="shared" si="2"/>
        <v>2.0771767833597164E-2</v>
      </c>
      <c r="N51" s="10">
        <f t="shared" si="3"/>
        <v>4.6832574729803464E-3</v>
      </c>
      <c r="O51" s="10">
        <f t="shared" si="4"/>
        <v>3.989513279379916E-3</v>
      </c>
      <c r="P51" s="10">
        <f t="shared" si="5"/>
        <v>4.1106181968732173E-3</v>
      </c>
      <c r="Q51" s="10">
        <f t="shared" si="6"/>
        <v>1.6263469387938271E-2</v>
      </c>
      <c r="R51" s="10">
        <f t="shared" si="0"/>
        <v>0</v>
      </c>
      <c r="S51" s="11">
        <f t="shared" si="7"/>
        <v>6.7300594231203403</v>
      </c>
      <c r="T51" s="12">
        <v>2</v>
      </c>
      <c r="U51" s="13">
        <v>1</v>
      </c>
      <c r="V51" s="13">
        <v>1</v>
      </c>
      <c r="W51" s="14" t="s">
        <v>28</v>
      </c>
    </row>
    <row r="52" spans="1:23" ht="15" customHeight="1" x14ac:dyDescent="0.2">
      <c r="A52" s="8" t="s">
        <v>115</v>
      </c>
      <c r="B52" s="9" t="s">
        <v>116</v>
      </c>
      <c r="C52" s="9"/>
      <c r="D52" s="9" t="s">
        <v>27</v>
      </c>
      <c r="E52" s="9">
        <v>10</v>
      </c>
      <c r="F52" s="9">
        <v>6388</v>
      </c>
      <c r="G52" s="9">
        <v>72.45</v>
      </c>
      <c r="H52" s="9">
        <v>431834</v>
      </c>
      <c r="I52" s="9">
        <v>6.4999999999999997E-3</v>
      </c>
      <c r="J52" s="9">
        <v>2287856</v>
      </c>
      <c r="K52" s="9">
        <v>9080821</v>
      </c>
      <c r="L52" s="10">
        <f t="shared" si="1"/>
        <v>2.4046252522541478E-3</v>
      </c>
      <c r="M52" s="10">
        <f t="shared" si="2"/>
        <v>2.5888776527509282E-2</v>
      </c>
      <c r="N52" s="10">
        <f t="shared" si="3"/>
        <v>7.1287970009376155E-3</v>
      </c>
      <c r="O52" s="10">
        <f t="shared" si="4"/>
        <v>7.409096090276986E-3</v>
      </c>
      <c r="P52" s="10">
        <f t="shared" si="5"/>
        <v>1.3780187431343522E-3</v>
      </c>
      <c r="Q52" s="10">
        <f t="shared" si="6"/>
        <v>2.031974306949957E-3</v>
      </c>
      <c r="R52" s="10">
        <f t="shared" si="0"/>
        <v>0</v>
      </c>
      <c r="S52" s="11">
        <f t="shared" si="7"/>
        <v>6.6747398414404815</v>
      </c>
      <c r="T52" s="12">
        <v>2</v>
      </c>
      <c r="U52" s="13">
        <v>1</v>
      </c>
      <c r="V52" s="13">
        <v>1</v>
      </c>
      <c r="W52" s="14" t="s">
        <v>28</v>
      </c>
    </row>
    <row r="53" spans="1:23" ht="15" customHeight="1" x14ac:dyDescent="0.2">
      <c r="A53" s="8" t="s">
        <v>117</v>
      </c>
      <c r="B53" s="9" t="s">
        <v>118</v>
      </c>
      <c r="C53" s="9"/>
      <c r="D53" s="9" t="s">
        <v>27</v>
      </c>
      <c r="E53" s="9">
        <v>5</v>
      </c>
      <c r="F53" s="9">
        <v>16301</v>
      </c>
      <c r="G53" s="9">
        <v>24.53</v>
      </c>
      <c r="H53" s="9">
        <v>374409</v>
      </c>
      <c r="I53" s="9">
        <v>5.3E-3</v>
      </c>
      <c r="J53" s="9">
        <v>13244277</v>
      </c>
      <c r="K53" s="9">
        <v>29594988</v>
      </c>
      <c r="L53" s="10">
        <f t="shared" si="1"/>
        <v>6.1361609638376433E-3</v>
      </c>
      <c r="M53" s="10">
        <f t="shared" si="2"/>
        <v>8.7653787193899615E-3</v>
      </c>
      <c r="N53" s="10">
        <f t="shared" si="3"/>
        <v>6.1808142858692265E-3</v>
      </c>
      <c r="O53" s="10">
        <f t="shared" si="4"/>
        <v>6.0412629659181583E-3</v>
      </c>
      <c r="P53" s="10">
        <f t="shared" si="5"/>
        <v>7.9772773921362224E-3</v>
      </c>
      <c r="Q53" s="10">
        <f t="shared" si="6"/>
        <v>6.6223368162958273E-3</v>
      </c>
      <c r="R53" s="10">
        <f t="shared" si="0"/>
        <v>0</v>
      </c>
      <c r="S53" s="11">
        <f t="shared" si="7"/>
        <v>6.3142755171583334</v>
      </c>
      <c r="T53" s="12">
        <v>3</v>
      </c>
      <c r="U53" s="13">
        <v>1</v>
      </c>
      <c r="V53" s="13">
        <v>1</v>
      </c>
      <c r="W53" s="14" t="s">
        <v>28</v>
      </c>
    </row>
    <row r="54" spans="1:23" ht="15" customHeight="1" x14ac:dyDescent="0.2">
      <c r="A54" s="8" t="s">
        <v>119</v>
      </c>
      <c r="B54" s="9" t="s">
        <v>120</v>
      </c>
      <c r="C54" s="9"/>
      <c r="D54" s="9" t="s">
        <v>27</v>
      </c>
      <c r="E54" s="9">
        <v>9.1999999999999993</v>
      </c>
      <c r="F54" s="9">
        <v>3869</v>
      </c>
      <c r="G54" s="9">
        <v>78.510000000000005</v>
      </c>
      <c r="H54" s="9">
        <v>288384</v>
      </c>
      <c r="I54" s="9">
        <v>3.8E-3</v>
      </c>
      <c r="J54" s="9">
        <v>3695142</v>
      </c>
      <c r="K54" s="9">
        <v>22881998</v>
      </c>
      <c r="L54" s="10">
        <f t="shared" si="1"/>
        <v>1.4564018630199278E-3</v>
      </c>
      <c r="M54" s="10">
        <f t="shared" si="2"/>
        <v>2.8054214564178795E-2</v>
      </c>
      <c r="N54" s="10">
        <f t="shared" si="3"/>
        <v>4.7606973844541963E-3</v>
      </c>
      <c r="O54" s="10">
        <f t="shared" si="4"/>
        <v>4.3314715604696229E-3</v>
      </c>
      <c r="P54" s="10">
        <f t="shared" si="5"/>
        <v>2.2256535964426767E-3</v>
      </c>
      <c r="Q54" s="10">
        <f t="shared" si="6"/>
        <v>5.1202013592912248E-3</v>
      </c>
      <c r="R54" s="10">
        <f t="shared" si="0"/>
        <v>0</v>
      </c>
      <c r="S54" s="11">
        <f t="shared" si="7"/>
        <v>6.5090778950388994</v>
      </c>
      <c r="T54" s="12">
        <v>3</v>
      </c>
      <c r="U54" s="13">
        <v>1</v>
      </c>
      <c r="V54" s="13">
        <v>1</v>
      </c>
      <c r="W54" s="14" t="s">
        <v>28</v>
      </c>
    </row>
    <row r="55" spans="1:23" ht="15" customHeight="1" x14ac:dyDescent="0.2">
      <c r="A55" s="8" t="s">
        <v>121</v>
      </c>
      <c r="B55" s="9" t="s">
        <v>122</v>
      </c>
      <c r="C55" s="9"/>
      <c r="D55" s="9" t="s">
        <v>27</v>
      </c>
      <c r="E55" s="9">
        <v>4.9000000000000004</v>
      </c>
      <c r="F55" s="9">
        <v>28518</v>
      </c>
      <c r="G55" s="9">
        <v>21.28</v>
      </c>
      <c r="H55" s="9">
        <v>606736</v>
      </c>
      <c r="I55" s="9">
        <v>8.0000000000000002E-3</v>
      </c>
      <c r="J55" s="9">
        <v>0</v>
      </c>
      <c r="K55" s="9">
        <v>6624</v>
      </c>
      <c r="L55" s="10">
        <f t="shared" si="1"/>
        <v>1.0734987937348747E-2</v>
      </c>
      <c r="M55" s="10">
        <f t="shared" si="2"/>
        <v>7.604046438997895E-3</v>
      </c>
      <c r="N55" s="10">
        <f t="shared" si="3"/>
        <v>1.0016112156895671E-2</v>
      </c>
      <c r="O55" s="10">
        <f t="shared" si="4"/>
        <v>9.1188874957255223E-3</v>
      </c>
      <c r="P55" s="10">
        <f t="shared" si="5"/>
        <v>0</v>
      </c>
      <c r="Q55" s="10">
        <f t="shared" si="6"/>
        <v>1.4822225665759202E-6</v>
      </c>
      <c r="R55" s="10">
        <f t="shared" si="0"/>
        <v>0</v>
      </c>
      <c r="S55" s="11">
        <f t="shared" si="7"/>
        <v>5.8718672299201309</v>
      </c>
      <c r="T55" s="12">
        <v>2</v>
      </c>
      <c r="U55" s="13">
        <v>1</v>
      </c>
      <c r="V55" s="13">
        <v>1</v>
      </c>
      <c r="W55" s="14" t="s">
        <v>28</v>
      </c>
    </row>
    <row r="56" spans="1:23" ht="15" customHeight="1" x14ac:dyDescent="0.2">
      <c r="A56" s="8" t="s">
        <v>123</v>
      </c>
      <c r="B56" s="9" t="s">
        <v>124</v>
      </c>
      <c r="C56" s="9"/>
      <c r="D56" s="9" t="s">
        <v>27</v>
      </c>
      <c r="E56" s="9">
        <v>4.5</v>
      </c>
      <c r="F56" s="9">
        <v>19734</v>
      </c>
      <c r="G56" s="9">
        <v>25.63</v>
      </c>
      <c r="H56" s="9">
        <v>479586</v>
      </c>
      <c r="I56" s="9">
        <v>6.4000000000000003E-3</v>
      </c>
      <c r="J56" s="9">
        <v>6325211</v>
      </c>
      <c r="K56" s="9">
        <v>14956418</v>
      </c>
      <c r="L56" s="10">
        <f t="shared" si="1"/>
        <v>7.4284400012497422E-3</v>
      </c>
      <c r="M56" s="10">
        <f t="shared" si="2"/>
        <v>9.1584450296765055E-3</v>
      </c>
      <c r="N56" s="10">
        <f t="shared" si="3"/>
        <v>7.91709601025317E-3</v>
      </c>
      <c r="O56" s="10">
        <f t="shared" si="4"/>
        <v>7.2951099965804182E-3</v>
      </c>
      <c r="P56" s="10">
        <f t="shared" si="5"/>
        <v>3.8097936724512289E-3</v>
      </c>
      <c r="Q56" s="10">
        <f t="shared" si="6"/>
        <v>3.3467301139405632E-3</v>
      </c>
      <c r="R56" s="10">
        <f t="shared" si="0"/>
        <v>0</v>
      </c>
      <c r="S56" s="11">
        <f t="shared" si="7"/>
        <v>5.923696798844289</v>
      </c>
      <c r="T56" s="12">
        <v>3</v>
      </c>
      <c r="U56" s="13">
        <v>1</v>
      </c>
      <c r="V56" s="13">
        <v>1</v>
      </c>
      <c r="W56" s="14" t="s">
        <v>28</v>
      </c>
    </row>
    <row r="57" spans="1:23" ht="15" customHeight="1" x14ac:dyDescent="0.2">
      <c r="A57" s="8" t="s">
        <v>125</v>
      </c>
      <c r="B57" s="9" t="s">
        <v>126</v>
      </c>
      <c r="C57" s="9"/>
      <c r="D57" s="9" t="s">
        <v>27</v>
      </c>
      <c r="E57" s="9">
        <v>10.4</v>
      </c>
      <c r="F57" s="9">
        <v>5425</v>
      </c>
      <c r="G57" s="9">
        <v>76.41</v>
      </c>
      <c r="H57" s="9">
        <v>414503</v>
      </c>
      <c r="I57" s="9">
        <v>4.7000000000000002E-3</v>
      </c>
      <c r="J57" s="9">
        <v>0</v>
      </c>
      <c r="K57" s="9">
        <v>0</v>
      </c>
      <c r="L57" s="10">
        <f t="shared" si="1"/>
        <v>2.0421246076203431E-3</v>
      </c>
      <c r="M57" s="10">
        <f t="shared" si="2"/>
        <v>2.7303815244540841E-2</v>
      </c>
      <c r="N57" s="10">
        <f t="shared" si="3"/>
        <v>6.842693588924551E-3</v>
      </c>
      <c r="O57" s="10">
        <f t="shared" si="4"/>
        <v>5.3573464037387445E-3</v>
      </c>
      <c r="P57" s="10">
        <f t="shared" si="5"/>
        <v>0</v>
      </c>
      <c r="Q57" s="10">
        <f t="shared" si="6"/>
        <v>0</v>
      </c>
      <c r="R57" s="10">
        <f t="shared" si="0"/>
        <v>0</v>
      </c>
      <c r="S57" s="11">
        <f t="shared" si="7"/>
        <v>6.0327110198108684</v>
      </c>
      <c r="T57" s="12">
        <v>3</v>
      </c>
      <c r="U57" s="13">
        <v>1</v>
      </c>
      <c r="V57" s="13">
        <v>1</v>
      </c>
      <c r="W57" s="14" t="s">
        <v>28</v>
      </c>
    </row>
    <row r="58" spans="1:23" ht="15" customHeight="1" x14ac:dyDescent="0.2">
      <c r="A58" s="8" t="s">
        <v>127</v>
      </c>
      <c r="B58" s="9" t="s">
        <v>128</v>
      </c>
      <c r="C58" s="9"/>
      <c r="D58" s="9" t="s">
        <v>27</v>
      </c>
      <c r="E58" s="9">
        <v>10.4</v>
      </c>
      <c r="F58" s="9">
        <v>3578</v>
      </c>
      <c r="G58" s="9">
        <v>83.3</v>
      </c>
      <c r="H58" s="9">
        <v>298065</v>
      </c>
      <c r="I58" s="9">
        <v>3.2000000000000002E-3</v>
      </c>
      <c r="J58" s="9">
        <v>953476</v>
      </c>
      <c r="K58" s="9">
        <v>4599764</v>
      </c>
      <c r="L58" s="10">
        <f t="shared" si="1"/>
        <v>1.3468611697816752E-3</v>
      </c>
      <c r="M58" s="10">
        <f t="shared" si="2"/>
        <v>2.976583967897202E-2</v>
      </c>
      <c r="N58" s="10">
        <f t="shared" si="3"/>
        <v>4.9205131557137011E-3</v>
      </c>
      <c r="O58" s="10">
        <f t="shared" si="4"/>
        <v>3.6475549982902091E-3</v>
      </c>
      <c r="P58" s="10">
        <f t="shared" si="5"/>
        <v>5.7429654625499574E-4</v>
      </c>
      <c r="Q58" s="10">
        <f t="shared" si="6"/>
        <v>1.0292684181345895E-3</v>
      </c>
      <c r="R58" s="10">
        <f t="shared" si="0"/>
        <v>0</v>
      </c>
      <c r="S58" s="11">
        <f t="shared" si="7"/>
        <v>5.9975707572144392</v>
      </c>
      <c r="T58" s="12">
        <v>3</v>
      </c>
      <c r="U58" s="13">
        <v>1</v>
      </c>
      <c r="V58" s="13">
        <v>1</v>
      </c>
      <c r="W58" s="14" t="s">
        <v>28</v>
      </c>
    </row>
    <row r="59" spans="1:23" ht="15" customHeight="1" x14ac:dyDescent="0.2">
      <c r="A59" s="8" t="s">
        <v>129</v>
      </c>
      <c r="B59" s="9" t="s">
        <v>130</v>
      </c>
      <c r="C59" s="9"/>
      <c r="D59" s="9" t="s">
        <v>27</v>
      </c>
      <c r="E59" s="9">
        <v>4.9000000000000004</v>
      </c>
      <c r="F59" s="9">
        <v>22469</v>
      </c>
      <c r="G59" s="9">
        <v>13.93</v>
      </c>
      <c r="H59" s="9">
        <v>313029</v>
      </c>
      <c r="I59" s="9">
        <v>4.1000000000000003E-3</v>
      </c>
      <c r="J59" s="9">
        <v>13098408</v>
      </c>
      <c r="K59" s="9">
        <v>17315184</v>
      </c>
      <c r="L59" s="10">
        <f t="shared" si="1"/>
        <v>8.4579719462896767E-3</v>
      </c>
      <c r="M59" s="10">
        <f t="shared" si="2"/>
        <v>4.9776488202650689E-3</v>
      </c>
      <c r="N59" s="10">
        <f t="shared" si="3"/>
        <v>5.167541685940664E-3</v>
      </c>
      <c r="O59" s="10">
        <f t="shared" si="4"/>
        <v>4.6734298415593307E-3</v>
      </c>
      <c r="P59" s="10">
        <f t="shared" si="5"/>
        <v>7.8894177471051253E-3</v>
      </c>
      <c r="Q59" s="10">
        <f t="shared" si="6"/>
        <v>3.8745405297726915E-3</v>
      </c>
      <c r="R59" s="10">
        <f t="shared" si="0"/>
        <v>0</v>
      </c>
      <c r="S59" s="11">
        <f t="shared" si="7"/>
        <v>5.7130165878542956</v>
      </c>
      <c r="T59" s="12">
        <v>2</v>
      </c>
      <c r="U59" s="13">
        <v>1</v>
      </c>
      <c r="V59" s="13">
        <v>1</v>
      </c>
      <c r="W59" s="14" t="s">
        <v>28</v>
      </c>
    </row>
    <row r="60" spans="1:23" ht="15" customHeight="1" x14ac:dyDescent="0.2">
      <c r="A60" s="8" t="s">
        <v>131</v>
      </c>
      <c r="B60" s="9" t="s">
        <v>132</v>
      </c>
      <c r="C60" s="9"/>
      <c r="D60" s="9" t="s">
        <v>27</v>
      </c>
      <c r="E60" s="9">
        <v>5.3</v>
      </c>
      <c r="F60" s="9">
        <v>14221</v>
      </c>
      <c r="G60" s="9">
        <v>34.630000000000003</v>
      </c>
      <c r="H60" s="9">
        <v>422738</v>
      </c>
      <c r="I60" s="9">
        <v>5.7000000000000002E-3</v>
      </c>
      <c r="J60" s="9">
        <v>6770681</v>
      </c>
      <c r="K60" s="9">
        <v>11680066</v>
      </c>
      <c r="L60" s="10">
        <f t="shared" si="1"/>
        <v>5.3531896857085528E-3</v>
      </c>
      <c r="M60" s="10">
        <f t="shared" si="2"/>
        <v>1.2374442113839149E-2</v>
      </c>
      <c r="N60" s="10">
        <f t="shared" si="3"/>
        <v>6.9786385198533831E-3</v>
      </c>
      <c r="O60" s="10">
        <f t="shared" si="4"/>
        <v>6.4972073407044348E-3</v>
      </c>
      <c r="P60" s="10">
        <f t="shared" si="5"/>
        <v>4.0781086404842078E-3</v>
      </c>
      <c r="Q60" s="10">
        <f t="shared" si="6"/>
        <v>2.6135956226292483E-3</v>
      </c>
      <c r="R60" s="10">
        <f t="shared" si="0"/>
        <v>0</v>
      </c>
      <c r="S60" s="11">
        <f t="shared" si="7"/>
        <v>5.7310223789299393</v>
      </c>
      <c r="T60" s="12">
        <v>3</v>
      </c>
      <c r="U60" s="13">
        <v>1</v>
      </c>
      <c r="V60" s="13">
        <v>1</v>
      </c>
      <c r="W60" s="14" t="s">
        <v>28</v>
      </c>
    </row>
    <row r="61" spans="1:23" ht="15" customHeight="1" x14ac:dyDescent="0.2">
      <c r="A61" s="8" t="s">
        <v>133</v>
      </c>
      <c r="B61" s="9" t="s">
        <v>134</v>
      </c>
      <c r="C61" s="9"/>
      <c r="D61" s="9" t="s">
        <v>27</v>
      </c>
      <c r="E61" s="9">
        <v>4.9000000000000004</v>
      </c>
      <c r="F61" s="9">
        <v>11278</v>
      </c>
      <c r="G61" s="9">
        <v>37.340000000000003</v>
      </c>
      <c r="H61" s="9">
        <v>393327</v>
      </c>
      <c r="I61" s="9">
        <v>5.7999999999999996E-3</v>
      </c>
      <c r="J61" s="9">
        <v>6863791</v>
      </c>
      <c r="K61" s="9">
        <v>10197535</v>
      </c>
      <c r="L61" s="10">
        <f t="shared" si="1"/>
        <v>4.2453606128557107E-3</v>
      </c>
      <c r="M61" s="10">
        <f t="shared" si="2"/>
        <v>1.3342814569181457E-2</v>
      </c>
      <c r="N61" s="10">
        <f t="shared" si="3"/>
        <v>6.49311619276803E-3</v>
      </c>
      <c r="O61" s="10">
        <f t="shared" si="4"/>
        <v>6.6111934344010026E-3</v>
      </c>
      <c r="P61" s="10">
        <f t="shared" si="5"/>
        <v>4.1341905465015621E-3</v>
      </c>
      <c r="Q61" s="10">
        <f t="shared" si="6"/>
        <v>2.2818563557439274E-3</v>
      </c>
      <c r="R61" s="10">
        <f t="shared" si="0"/>
        <v>0</v>
      </c>
      <c r="S61" s="11">
        <f t="shared" si="7"/>
        <v>5.5857787724022554</v>
      </c>
      <c r="T61" s="12">
        <v>2</v>
      </c>
      <c r="U61" s="13">
        <v>1</v>
      </c>
      <c r="V61" s="13">
        <v>1</v>
      </c>
      <c r="W61" s="14" t="s">
        <v>28</v>
      </c>
    </row>
    <row r="62" spans="1:23" ht="15" customHeight="1" x14ac:dyDescent="0.2">
      <c r="A62" s="8" t="s">
        <v>135</v>
      </c>
      <c r="B62" s="9" t="s">
        <v>136</v>
      </c>
      <c r="C62" s="9"/>
      <c r="D62" s="9" t="s">
        <v>27</v>
      </c>
      <c r="E62" s="9">
        <v>4.7</v>
      </c>
      <c r="F62" s="9">
        <v>13894</v>
      </c>
      <c r="G62" s="9">
        <v>36.130000000000003</v>
      </c>
      <c r="H62" s="9">
        <v>502010</v>
      </c>
      <c r="I62" s="9">
        <v>6.1000000000000004E-3</v>
      </c>
      <c r="J62" s="9">
        <v>3069026</v>
      </c>
      <c r="K62" s="9">
        <v>6944964</v>
      </c>
      <c r="L62" s="10">
        <f t="shared" si="1"/>
        <v>5.230097566502682E-3</v>
      </c>
      <c r="M62" s="10">
        <f t="shared" si="2"/>
        <v>1.2910441627866257E-2</v>
      </c>
      <c r="N62" s="10">
        <f t="shared" si="3"/>
        <v>8.2872756254502716E-3</v>
      </c>
      <c r="O62" s="10">
        <f t="shared" si="4"/>
        <v>6.9531517154907112E-3</v>
      </c>
      <c r="P62" s="10">
        <f t="shared" si="5"/>
        <v>1.8485321415188055E-3</v>
      </c>
      <c r="Q62" s="10">
        <f t="shared" si="6"/>
        <v>1.5540432314096269E-3</v>
      </c>
      <c r="R62" s="10">
        <f t="shared" si="0"/>
        <v>0</v>
      </c>
      <c r="S62" s="11">
        <f t="shared" si="7"/>
        <v>5.4529179154956946</v>
      </c>
      <c r="T62" s="12">
        <v>2</v>
      </c>
      <c r="U62" s="13">
        <v>1</v>
      </c>
      <c r="V62" s="13">
        <v>1</v>
      </c>
      <c r="W62" s="14" t="s">
        <v>28</v>
      </c>
    </row>
    <row r="63" spans="1:23" ht="15" customHeight="1" x14ac:dyDescent="0.2">
      <c r="A63" s="8" t="s">
        <v>137</v>
      </c>
      <c r="B63" s="9" t="s">
        <v>138</v>
      </c>
      <c r="C63" s="9"/>
      <c r="D63" s="9" t="s">
        <v>27</v>
      </c>
      <c r="E63" s="9">
        <v>10</v>
      </c>
      <c r="F63" s="9">
        <v>5743</v>
      </c>
      <c r="G63" s="9">
        <v>60.89</v>
      </c>
      <c r="H63" s="9">
        <v>349687</v>
      </c>
      <c r="I63" s="9">
        <v>4.1999999999999997E-3</v>
      </c>
      <c r="J63" s="9">
        <v>1912399</v>
      </c>
      <c r="K63" s="9">
        <v>10398484</v>
      </c>
      <c r="L63" s="10">
        <f t="shared" si="1"/>
        <v>2.16182887033431E-3</v>
      </c>
      <c r="M63" s="10">
        <f t="shared" si="2"/>
        <v>2.1758006939407042E-2</v>
      </c>
      <c r="N63" s="10">
        <f t="shared" si="3"/>
        <v>5.7726988538810559E-3</v>
      </c>
      <c r="O63" s="10">
        <f t="shared" si="4"/>
        <v>4.7874159352558985E-3</v>
      </c>
      <c r="P63" s="10">
        <f t="shared" si="5"/>
        <v>1.1518739231627304E-3</v>
      </c>
      <c r="Q63" s="10">
        <f t="shared" si="6"/>
        <v>2.3268218060052298E-3</v>
      </c>
      <c r="R63" s="10">
        <f t="shared" si="0"/>
        <v>0</v>
      </c>
      <c r="S63" s="11">
        <f t="shared" si="7"/>
        <v>5.4512061971740593</v>
      </c>
      <c r="T63" s="12">
        <v>3</v>
      </c>
      <c r="U63" s="13">
        <v>1</v>
      </c>
      <c r="V63" s="13">
        <v>1</v>
      </c>
      <c r="W63" s="14" t="s">
        <v>28</v>
      </c>
    </row>
    <row r="64" spans="1:23" ht="15" customHeight="1" x14ac:dyDescent="0.2">
      <c r="A64" s="8" t="s">
        <v>139</v>
      </c>
      <c r="B64" s="9" t="s">
        <v>140</v>
      </c>
      <c r="C64" s="9"/>
      <c r="D64" s="9" t="s">
        <v>27</v>
      </c>
      <c r="E64" s="9">
        <v>8.8000000000000007</v>
      </c>
      <c r="F64" s="9">
        <v>16116</v>
      </c>
      <c r="G64" s="9">
        <v>32.979999999999997</v>
      </c>
      <c r="H64" s="9">
        <v>504314</v>
      </c>
      <c r="I64" s="9">
        <v>6.7000000000000002E-3</v>
      </c>
      <c r="J64" s="9">
        <v>550486</v>
      </c>
      <c r="K64" s="9">
        <v>2075075</v>
      </c>
      <c r="L64" s="10">
        <f t="shared" si="1"/>
        <v>6.0665216915040468E-3</v>
      </c>
      <c r="M64" s="10">
        <f t="shared" si="2"/>
        <v>1.178484264840933E-2</v>
      </c>
      <c r="N64" s="10">
        <f t="shared" si="3"/>
        <v>8.3253104913713436E-3</v>
      </c>
      <c r="O64" s="10">
        <f t="shared" si="4"/>
        <v>7.6370682776701251E-3</v>
      </c>
      <c r="P64" s="10">
        <f t="shared" si="5"/>
        <v>3.3156808200911989E-4</v>
      </c>
      <c r="Q64" s="10">
        <f t="shared" si="6"/>
        <v>4.6433016188670407E-4</v>
      </c>
      <c r="R64" s="10">
        <f t="shared" si="0"/>
        <v>0</v>
      </c>
      <c r="S64" s="11">
        <f t="shared" si="7"/>
        <v>5.1839124895327036</v>
      </c>
      <c r="T64" s="12">
        <v>3</v>
      </c>
      <c r="U64" s="13">
        <v>1</v>
      </c>
      <c r="V64" s="13">
        <v>1</v>
      </c>
      <c r="W64" s="14" t="s">
        <v>28</v>
      </c>
    </row>
    <row r="65" spans="1:23" ht="15" customHeight="1" x14ac:dyDescent="0.2">
      <c r="A65" s="8" t="s">
        <v>141</v>
      </c>
      <c r="B65" s="9" t="s">
        <v>142</v>
      </c>
      <c r="C65" s="9"/>
      <c r="D65" s="9" t="s">
        <v>27</v>
      </c>
      <c r="E65" s="9">
        <v>10</v>
      </c>
      <c r="F65" s="9">
        <v>6763</v>
      </c>
      <c r="G65" s="9">
        <v>55.96</v>
      </c>
      <c r="H65" s="9">
        <v>378488</v>
      </c>
      <c r="I65" s="9">
        <v>4.1999999999999997E-3</v>
      </c>
      <c r="J65" s="9">
        <v>1121085</v>
      </c>
      <c r="K65" s="9">
        <v>1278111</v>
      </c>
      <c r="L65" s="10">
        <f t="shared" si="1"/>
        <v>2.5457859394168443E-3</v>
      </c>
      <c r="M65" s="10">
        <f t="shared" si="2"/>
        <v>1.9996355203304613E-2</v>
      </c>
      <c r="N65" s="10">
        <f t="shared" si="3"/>
        <v>6.2481511860827919E-3</v>
      </c>
      <c r="O65" s="10">
        <f t="shared" si="4"/>
        <v>4.7874159352558985E-3</v>
      </c>
      <c r="P65" s="10">
        <f t="shared" si="5"/>
        <v>6.7525060259333413E-4</v>
      </c>
      <c r="Q65" s="10">
        <f t="shared" si="6"/>
        <v>2.8599712662876148E-4</v>
      </c>
      <c r="R65" s="10">
        <f t="shared" si="0"/>
        <v>0</v>
      </c>
      <c r="S65" s="11">
        <f t="shared" si="7"/>
        <v>5.0603835867130291</v>
      </c>
      <c r="T65" s="12">
        <v>3</v>
      </c>
      <c r="U65" s="13">
        <v>1</v>
      </c>
      <c r="V65" s="13">
        <v>1</v>
      </c>
      <c r="W65" s="14" t="s">
        <v>28</v>
      </c>
    </row>
    <row r="66" spans="1:23" ht="15" customHeight="1" x14ac:dyDescent="0.2">
      <c r="A66" s="8" t="s">
        <v>143</v>
      </c>
      <c r="B66" s="9" t="s">
        <v>144</v>
      </c>
      <c r="C66" s="9"/>
      <c r="D66" s="9" t="s">
        <v>27</v>
      </c>
      <c r="E66" s="9">
        <v>4.9000000000000004</v>
      </c>
      <c r="F66" s="9">
        <v>15820</v>
      </c>
      <c r="G66" s="9">
        <v>16</v>
      </c>
      <c r="H66" s="9">
        <v>253076</v>
      </c>
      <c r="I66" s="9">
        <v>3.8E-3</v>
      </c>
      <c r="J66" s="9">
        <v>12036847</v>
      </c>
      <c r="K66" s="9">
        <v>13100730</v>
      </c>
      <c r="L66" s="10">
        <f t="shared" si="1"/>
        <v>5.9550988557702913E-3</v>
      </c>
      <c r="M66" s="10">
        <f t="shared" si="2"/>
        <v>5.7173281496224774E-3</v>
      </c>
      <c r="N66" s="10">
        <f t="shared" si="3"/>
        <v>4.1778262707644325E-3</v>
      </c>
      <c r="O66" s="10">
        <f t="shared" si="4"/>
        <v>4.3314715604696229E-3</v>
      </c>
      <c r="P66" s="10">
        <f t="shared" si="5"/>
        <v>7.2500195703927598E-3</v>
      </c>
      <c r="Q66" s="10">
        <f t="shared" si="6"/>
        <v>2.9314911903107117E-3</v>
      </c>
      <c r="R66" s="10">
        <f t="shared" si="0"/>
        <v>0</v>
      </c>
      <c r="S66" s="11">
        <f t="shared" si="7"/>
        <v>4.9197475411631313</v>
      </c>
      <c r="T66" s="12">
        <v>3</v>
      </c>
      <c r="U66" s="13">
        <v>1</v>
      </c>
      <c r="V66" s="13">
        <v>1</v>
      </c>
      <c r="W66" s="14" t="s">
        <v>28</v>
      </c>
    </row>
    <row r="67" spans="1:23" ht="15" customHeight="1" x14ac:dyDescent="0.2">
      <c r="A67" s="8" t="s">
        <v>145</v>
      </c>
      <c r="B67" s="9" t="s">
        <v>146</v>
      </c>
      <c r="C67" s="9"/>
      <c r="D67" s="9" t="s">
        <v>27</v>
      </c>
      <c r="E67" s="9">
        <v>10</v>
      </c>
      <c r="F67" s="9">
        <v>588</v>
      </c>
      <c r="G67" s="9">
        <v>70.75</v>
      </c>
      <c r="H67" s="9">
        <v>39163</v>
      </c>
      <c r="I67" s="9">
        <v>5.9999999999999995E-4</v>
      </c>
      <c r="J67" s="9">
        <v>2764831</v>
      </c>
      <c r="K67" s="9">
        <v>39494157</v>
      </c>
      <c r="L67" s="10">
        <f t="shared" si="1"/>
        <v>2.2133995747110818E-4</v>
      </c>
      <c r="M67" s="10">
        <f t="shared" si="2"/>
        <v>2.5281310411611892E-2</v>
      </c>
      <c r="N67" s="10">
        <f t="shared" si="3"/>
        <v>6.4651017971655738E-4</v>
      </c>
      <c r="O67" s="10">
        <f t="shared" si="4"/>
        <v>6.8391656217941404E-4</v>
      </c>
      <c r="P67" s="10">
        <f t="shared" si="5"/>
        <v>1.665309765823939E-3</v>
      </c>
      <c r="Q67" s="10">
        <f t="shared" si="6"/>
        <v>8.8374291596153894E-3</v>
      </c>
      <c r="R67" s="10">
        <f t="shared" si="0"/>
        <v>0</v>
      </c>
      <c r="S67" s="11">
        <f t="shared" si="7"/>
        <v>5.0481861406180135</v>
      </c>
      <c r="T67" s="12">
        <v>2</v>
      </c>
      <c r="U67" s="13">
        <v>1</v>
      </c>
      <c r="V67" s="13">
        <v>1</v>
      </c>
      <c r="W67" s="14" t="s">
        <v>28</v>
      </c>
    </row>
    <row r="68" spans="1:23" ht="15" customHeight="1" x14ac:dyDescent="0.2">
      <c r="A68" s="8" t="s">
        <v>147</v>
      </c>
      <c r="B68" s="9" t="s">
        <v>148</v>
      </c>
      <c r="C68" s="9"/>
      <c r="D68" s="9" t="s">
        <v>27</v>
      </c>
      <c r="E68" s="9">
        <v>10</v>
      </c>
      <c r="F68" s="9">
        <v>531</v>
      </c>
      <c r="G68" s="9">
        <v>75.37</v>
      </c>
      <c r="H68" s="9">
        <v>37660</v>
      </c>
      <c r="I68" s="9">
        <v>5.9999999999999995E-4</v>
      </c>
      <c r="J68" s="9">
        <v>1744123</v>
      </c>
      <c r="K68" s="9">
        <v>11210207</v>
      </c>
      <c r="L68" s="10">
        <f t="shared" si="1"/>
        <v>1.9988353302237831E-4</v>
      </c>
      <c r="M68" s="10">
        <f t="shared" si="2"/>
        <v>2.6932188914815382E-2</v>
      </c>
      <c r="N68" s="10">
        <f t="shared" si="3"/>
        <v>6.2169837265085794E-4</v>
      </c>
      <c r="O68" s="10">
        <f t="shared" si="4"/>
        <v>6.8391656217941404E-4</v>
      </c>
      <c r="P68" s="10">
        <f t="shared" si="5"/>
        <v>1.0505181201665296E-3</v>
      </c>
      <c r="Q68" s="10">
        <f t="shared" si="6"/>
        <v>2.5084573960427758E-3</v>
      </c>
      <c r="R68" s="10">
        <f t="shared" si="0"/>
        <v>0</v>
      </c>
      <c r="S68" s="11">
        <f t="shared" si="7"/>
        <v>4.6593402517959559</v>
      </c>
      <c r="T68" s="12">
        <v>3</v>
      </c>
      <c r="U68" s="13">
        <v>1</v>
      </c>
      <c r="V68" s="13">
        <v>1</v>
      </c>
      <c r="W68" s="14" t="s">
        <v>28</v>
      </c>
    </row>
    <row r="69" spans="1:23" ht="15" customHeight="1" x14ac:dyDescent="0.2">
      <c r="A69" s="8" t="s">
        <v>149</v>
      </c>
      <c r="B69" s="9" t="s">
        <v>150</v>
      </c>
      <c r="C69" s="9"/>
      <c r="D69" s="9" t="s">
        <v>27</v>
      </c>
      <c r="E69" s="9">
        <v>4.9000000000000004</v>
      </c>
      <c r="F69" s="9">
        <v>17220</v>
      </c>
      <c r="G69" s="9">
        <v>9.92</v>
      </c>
      <c r="H69" s="9">
        <v>170820</v>
      </c>
      <c r="I69" s="9">
        <v>2.5000000000000001E-3</v>
      </c>
      <c r="J69" s="9">
        <v>11644536</v>
      </c>
      <c r="K69" s="9">
        <v>14173348</v>
      </c>
      <c r="L69" s="10">
        <f t="shared" si="1"/>
        <v>6.4820987545110252E-3</v>
      </c>
      <c r="M69" s="10">
        <f t="shared" si="2"/>
        <v>3.5447434527659358E-3</v>
      </c>
      <c r="N69" s="10">
        <f t="shared" si="3"/>
        <v>2.8199287311794891E-3</v>
      </c>
      <c r="O69" s="10">
        <f t="shared" si="4"/>
        <v>2.8496523424142257E-3</v>
      </c>
      <c r="P69" s="10">
        <f t="shared" si="5"/>
        <v>7.0137232689044746E-3</v>
      </c>
      <c r="Q69" s="10">
        <f t="shared" si="6"/>
        <v>3.1715060763184912E-3</v>
      </c>
      <c r="R69" s="10">
        <f t="shared" si="0"/>
        <v>0</v>
      </c>
      <c r="S69" s="11">
        <f t="shared" si="7"/>
        <v>4.3236791082737733</v>
      </c>
      <c r="T69" s="12">
        <v>3</v>
      </c>
      <c r="U69" s="13">
        <v>1</v>
      </c>
      <c r="V69" s="13">
        <v>1</v>
      </c>
      <c r="W69" s="14" t="s">
        <v>28</v>
      </c>
    </row>
    <row r="70" spans="1:23" ht="15" customHeight="1" x14ac:dyDescent="0.2">
      <c r="A70" s="8" t="s">
        <v>151</v>
      </c>
      <c r="B70" s="9" t="s">
        <v>152</v>
      </c>
      <c r="C70" s="9"/>
      <c r="D70" s="9" t="s">
        <v>27</v>
      </c>
      <c r="E70" s="9">
        <v>10</v>
      </c>
      <c r="F70" s="9">
        <v>4713</v>
      </c>
      <c r="G70" s="9">
        <v>52.15</v>
      </c>
      <c r="H70" s="9">
        <v>245771</v>
      </c>
      <c r="I70" s="9">
        <v>2.8E-3</v>
      </c>
      <c r="J70" s="9">
        <v>1364496</v>
      </c>
      <c r="K70" s="9">
        <v>8447188</v>
      </c>
      <c r="L70" s="10">
        <f t="shared" si="1"/>
        <v>1.7741075162607701E-3</v>
      </c>
      <c r="M70" s="10">
        <f t="shared" si="2"/>
        <v>1.8634916437675762E-2</v>
      </c>
      <c r="N70" s="10">
        <f t="shared" si="3"/>
        <v>4.0572339549860333E-3</v>
      </c>
      <c r="O70" s="10">
        <f t="shared" si="4"/>
        <v>3.1916106235039326E-3</v>
      </c>
      <c r="P70" s="10">
        <f t="shared" si="5"/>
        <v>8.2186163068473318E-4</v>
      </c>
      <c r="Q70" s="10">
        <f t="shared" si="6"/>
        <v>1.8901891119730244E-3</v>
      </c>
      <c r="R70" s="10">
        <f t="shared" si="0"/>
        <v>0</v>
      </c>
      <c r="S70" s="11">
        <f t="shared" si="7"/>
        <v>4.3855935633477161</v>
      </c>
      <c r="T70" s="12">
        <v>2</v>
      </c>
      <c r="U70" s="13">
        <v>1</v>
      </c>
      <c r="V70" s="13">
        <v>1</v>
      </c>
      <c r="W70" s="14" t="s">
        <v>28</v>
      </c>
    </row>
    <row r="71" spans="1:23" ht="15" customHeight="1" x14ac:dyDescent="0.2">
      <c r="A71" s="8" t="s">
        <v>153</v>
      </c>
      <c r="B71" s="9" t="s">
        <v>154</v>
      </c>
      <c r="C71" s="9"/>
      <c r="D71" s="9" t="s">
        <v>27</v>
      </c>
      <c r="E71" s="9">
        <v>4.9000000000000004</v>
      </c>
      <c r="F71" s="9">
        <v>0</v>
      </c>
      <c r="G71" s="9">
        <v>0</v>
      </c>
      <c r="H71" s="9">
        <v>0</v>
      </c>
      <c r="I71" s="9">
        <v>0</v>
      </c>
      <c r="J71" s="9">
        <v>30608666</v>
      </c>
      <c r="K71" s="9">
        <v>41777354</v>
      </c>
      <c r="L71" s="10">
        <f t="shared" si="1"/>
        <v>0</v>
      </c>
      <c r="M71" s="10">
        <f t="shared" si="2"/>
        <v>0</v>
      </c>
      <c r="N71" s="10">
        <f t="shared" si="3"/>
        <v>0</v>
      </c>
      <c r="O71" s="10">
        <f t="shared" si="4"/>
        <v>0</v>
      </c>
      <c r="P71" s="10">
        <f t="shared" si="5"/>
        <v>1.8436175812786809E-2</v>
      </c>
      <c r="Q71" s="10">
        <f t="shared" si="6"/>
        <v>9.3483298415807346E-3</v>
      </c>
      <c r="R71" s="10">
        <f t="shared" si="0"/>
        <v>0</v>
      </c>
      <c r="S71" s="11">
        <f t="shared" si="7"/>
        <v>4.4351015498838207</v>
      </c>
      <c r="T71" s="12">
        <v>1</v>
      </c>
      <c r="U71" s="13">
        <v>0</v>
      </c>
      <c r="V71" s="13">
        <v>1</v>
      </c>
      <c r="W71" s="14" t="s">
        <v>28</v>
      </c>
    </row>
    <row r="72" spans="1:23" ht="15" customHeight="1" x14ac:dyDescent="0.2">
      <c r="A72" s="8" t="s">
        <v>155</v>
      </c>
      <c r="B72" s="9" t="s">
        <v>156</v>
      </c>
      <c r="C72" s="9"/>
      <c r="D72" s="9" t="s">
        <v>27</v>
      </c>
      <c r="E72" s="9">
        <v>10</v>
      </c>
      <c r="F72" s="9">
        <v>292</v>
      </c>
      <c r="G72" s="9">
        <v>73.75</v>
      </c>
      <c r="H72" s="9">
        <v>20237</v>
      </c>
      <c r="I72" s="9">
        <v>2.9999999999999997E-4</v>
      </c>
      <c r="J72" s="9">
        <v>1131226</v>
      </c>
      <c r="K72" s="9">
        <v>7604469</v>
      </c>
      <c r="L72" s="10">
        <f t="shared" si="1"/>
        <v>1.0991712173735304E-4</v>
      </c>
      <c r="M72" s="10">
        <f t="shared" si="2"/>
        <v>2.6353309439666107E-2</v>
      </c>
      <c r="N72" s="10">
        <f t="shared" si="3"/>
        <v>3.3407620731108371E-4</v>
      </c>
      <c r="O72" s="10">
        <f t="shared" si="4"/>
        <v>3.4195828108970702E-4</v>
      </c>
      <c r="P72" s="10">
        <f t="shared" si="5"/>
        <v>6.8135871782179502E-4</v>
      </c>
      <c r="Q72" s="10">
        <f t="shared" si="6"/>
        <v>1.7016176869907942E-3</v>
      </c>
      <c r="R72" s="10">
        <f t="shared" ref="R72:R86" si="8">IF(C72="DELI2GO",0.05,0)</f>
        <v>0</v>
      </c>
      <c r="S72" s="11">
        <f t="shared" si="7"/>
        <v>4.33428070415032</v>
      </c>
      <c r="T72" s="12">
        <v>3</v>
      </c>
      <c r="U72" s="13">
        <v>1</v>
      </c>
      <c r="V72" s="13">
        <v>1</v>
      </c>
      <c r="W72" s="14" t="s">
        <v>28</v>
      </c>
    </row>
    <row r="73" spans="1:23" ht="15" customHeight="1" x14ac:dyDescent="0.2">
      <c r="A73" s="8" t="s">
        <v>157</v>
      </c>
      <c r="B73" s="9" t="s">
        <v>158</v>
      </c>
      <c r="C73" s="9"/>
      <c r="D73" s="9" t="s">
        <v>27</v>
      </c>
      <c r="E73" s="9">
        <v>5.0999999999999996</v>
      </c>
      <c r="F73" s="9">
        <v>15265</v>
      </c>
      <c r="G73" s="9">
        <v>14.71</v>
      </c>
      <c r="H73" s="9">
        <v>210911</v>
      </c>
      <c r="I73" s="9">
        <v>3.3E-3</v>
      </c>
      <c r="J73" s="9">
        <v>5379172</v>
      </c>
      <c r="K73" s="9">
        <v>16946707</v>
      </c>
      <c r="L73" s="10">
        <f t="shared" ref="L73:L88" si="9">IF(SUM($F$8:$F$86)=0,0,F73/SUM($F$8:$F$86))</f>
        <v>5.7461810387695001E-3</v>
      </c>
      <c r="M73" s="10">
        <f t="shared" ref="M73:M88" si="10">IF(SUM($G$8:$G$86)=0,0,G73/SUM($G$8:$G$86))</f>
        <v>5.2563685675591654E-3</v>
      </c>
      <c r="N73" s="10">
        <f t="shared" ref="N73:N88" si="11">IF(SUM($H$8:$H$86)=0,0,H73/SUM($H$8:$H$86))</f>
        <v>3.4817585096698117E-3</v>
      </c>
      <c r="O73" s="10">
        <f t="shared" ref="O73:O88" si="12">IF(SUM($I$8:$I$86)=0,0,I73/SUM($I$8:$I$86))</f>
        <v>3.7615410919867778E-3</v>
      </c>
      <c r="P73" s="10">
        <f t="shared" ref="P73:P88" si="13">IF(SUM($J$8:$J$86)=0,0,J73/SUM($J$8:$J$86))</f>
        <v>3.2399765713154584E-3</v>
      </c>
      <c r="Q73" s="10">
        <f t="shared" ref="Q73:Q88" si="14">IF(SUM($K$8:$K$86)=0,0,K73/SUM($K$8:$K$86))</f>
        <v>3.7920880954936767E-3</v>
      </c>
      <c r="R73" s="10">
        <f t="shared" si="8"/>
        <v>0</v>
      </c>
      <c r="S73" s="11">
        <f t="shared" ref="S73:S88" si="15">1000*($D$5*L73+$E$5*M73+$F$5*N73+$G$5*O73+$H$5*P73+$I$5*Q73+$J$5*R73)</f>
        <v>3.9163844903307483</v>
      </c>
      <c r="T73" s="12">
        <v>2</v>
      </c>
      <c r="U73" s="13">
        <v>1</v>
      </c>
      <c r="V73" s="13">
        <v>1</v>
      </c>
      <c r="W73" s="14" t="s">
        <v>28</v>
      </c>
    </row>
    <row r="74" spans="1:23" ht="15" customHeight="1" x14ac:dyDescent="0.2">
      <c r="A74" s="8" t="s">
        <v>159</v>
      </c>
      <c r="B74" s="9" t="s">
        <v>160</v>
      </c>
      <c r="C74" s="9"/>
      <c r="D74" s="9" t="s">
        <v>27</v>
      </c>
      <c r="E74" s="9">
        <v>4.9000000000000004</v>
      </c>
      <c r="F74" s="9">
        <v>10017</v>
      </c>
      <c r="G74" s="9">
        <v>28.05</v>
      </c>
      <c r="H74" s="9">
        <v>240908</v>
      </c>
      <c r="I74" s="9">
        <v>3.3E-3</v>
      </c>
      <c r="J74" s="9">
        <v>2899152</v>
      </c>
      <c r="K74" s="9">
        <v>9912976</v>
      </c>
      <c r="L74" s="10">
        <f t="shared" si="9"/>
        <v>3.7706842754899501E-3</v>
      </c>
      <c r="M74" s="10">
        <f t="shared" si="10"/>
        <v>1.0023190912306905E-2</v>
      </c>
      <c r="N74" s="10">
        <f t="shared" si="11"/>
        <v>3.9769546351187705E-3</v>
      </c>
      <c r="O74" s="10">
        <f t="shared" si="12"/>
        <v>3.7615410919867778E-3</v>
      </c>
      <c r="P74" s="10">
        <f t="shared" si="13"/>
        <v>1.7462138330364514E-3</v>
      </c>
      <c r="Q74" s="10">
        <f t="shared" si="14"/>
        <v>2.218181873358318E-3</v>
      </c>
      <c r="R74" s="10">
        <f t="shared" si="8"/>
        <v>0</v>
      </c>
      <c r="S74" s="11">
        <f t="shared" si="15"/>
        <v>3.8216531212396743</v>
      </c>
      <c r="T74" s="12">
        <v>3</v>
      </c>
      <c r="U74" s="13">
        <v>1</v>
      </c>
      <c r="V74" s="13">
        <v>1</v>
      </c>
      <c r="W74" s="14" t="s">
        <v>28</v>
      </c>
    </row>
    <row r="75" spans="1:23" ht="15" customHeight="1" x14ac:dyDescent="0.2">
      <c r="A75" s="8" t="s">
        <v>161</v>
      </c>
      <c r="B75" s="9" t="s">
        <v>162</v>
      </c>
      <c r="C75" s="9"/>
      <c r="D75" s="9" t="s">
        <v>27</v>
      </c>
      <c r="E75" s="9">
        <v>4.4000000000000004</v>
      </c>
      <c r="F75" s="9">
        <v>10557</v>
      </c>
      <c r="G75" s="9">
        <v>19.45</v>
      </c>
      <c r="H75" s="9">
        <v>192082</v>
      </c>
      <c r="I75" s="9">
        <v>2.8E-3</v>
      </c>
      <c r="J75" s="9">
        <v>5948950</v>
      </c>
      <c r="K75" s="9">
        <v>6729292</v>
      </c>
      <c r="L75" s="10">
        <f t="shared" si="9"/>
        <v>3.9739556650042326E-3</v>
      </c>
      <c r="M75" s="10">
        <f t="shared" si="10"/>
        <v>6.9501270318848233E-3</v>
      </c>
      <c r="N75" s="10">
        <f t="shared" si="11"/>
        <v>3.1709258315327166E-3</v>
      </c>
      <c r="O75" s="10">
        <f t="shared" si="12"/>
        <v>3.1916106235039326E-3</v>
      </c>
      <c r="P75" s="10">
        <f t="shared" si="13"/>
        <v>3.5831645881423935E-3</v>
      </c>
      <c r="Q75" s="10">
        <f t="shared" si="14"/>
        <v>1.5057832819261483E-3</v>
      </c>
      <c r="R75" s="10">
        <f t="shared" si="8"/>
        <v>0</v>
      </c>
      <c r="S75" s="11">
        <f t="shared" si="15"/>
        <v>3.549719057945087</v>
      </c>
      <c r="T75" s="12">
        <v>2</v>
      </c>
      <c r="U75" s="13">
        <v>1</v>
      </c>
      <c r="V75" s="13">
        <v>1</v>
      </c>
      <c r="W75" s="14" t="s">
        <v>28</v>
      </c>
    </row>
    <row r="76" spans="1:23" ht="15" customHeight="1" x14ac:dyDescent="0.2">
      <c r="A76" s="8" t="s">
        <v>163</v>
      </c>
      <c r="B76" s="9" t="s">
        <v>164</v>
      </c>
      <c r="C76" s="9"/>
      <c r="D76" s="9" t="s">
        <v>27</v>
      </c>
      <c r="E76" s="9">
        <v>10</v>
      </c>
      <c r="F76" s="9">
        <v>1129</v>
      </c>
      <c r="G76" s="9">
        <v>42.7</v>
      </c>
      <c r="H76" s="9">
        <v>45194</v>
      </c>
      <c r="I76" s="9">
        <v>6.9999999999999999E-4</v>
      </c>
      <c r="J76" s="9">
        <v>4244540</v>
      </c>
      <c r="K76" s="9">
        <v>24196745</v>
      </c>
      <c r="L76" s="10">
        <f t="shared" si="9"/>
        <v>4.2498777548449171E-4</v>
      </c>
      <c r="M76" s="10">
        <f t="shared" si="10"/>
        <v>1.5258119499304987E-2</v>
      </c>
      <c r="N76" s="10">
        <f t="shared" si="11"/>
        <v>7.4607106355769714E-4</v>
      </c>
      <c r="O76" s="10">
        <f t="shared" si="12"/>
        <v>7.9790265587598315E-4</v>
      </c>
      <c r="P76" s="10">
        <f t="shared" si="13"/>
        <v>2.5565663555676072E-3</v>
      </c>
      <c r="Q76" s="10">
        <f t="shared" si="14"/>
        <v>5.414396358194907E-3</v>
      </c>
      <c r="R76" s="10">
        <f t="shared" si="8"/>
        <v>0</v>
      </c>
      <c r="S76" s="11">
        <f t="shared" si="15"/>
        <v>3.5209727200086176</v>
      </c>
      <c r="T76" s="12">
        <v>2</v>
      </c>
      <c r="U76" s="13">
        <v>1</v>
      </c>
      <c r="V76" s="13">
        <v>1</v>
      </c>
      <c r="W76" s="14" t="s">
        <v>28</v>
      </c>
    </row>
    <row r="77" spans="1:23" ht="15" customHeight="1" x14ac:dyDescent="0.2">
      <c r="A77" s="8" t="s">
        <v>165</v>
      </c>
      <c r="B77" s="9" t="s">
        <v>166</v>
      </c>
      <c r="C77" s="9"/>
      <c r="D77" s="9" t="s">
        <v>27</v>
      </c>
      <c r="E77" s="9">
        <v>11.2</v>
      </c>
      <c r="F77" s="9">
        <v>869</v>
      </c>
      <c r="G77" s="9">
        <v>61.47</v>
      </c>
      <c r="H77" s="9">
        <v>43985</v>
      </c>
      <c r="I77" s="9">
        <v>6.9999999999999999E-4</v>
      </c>
      <c r="J77" s="9">
        <v>252460</v>
      </c>
      <c r="K77" s="9">
        <v>354598</v>
      </c>
      <c r="L77" s="10">
        <f t="shared" si="9"/>
        <v>3.2711636571835546E-4</v>
      </c>
      <c r="M77" s="10">
        <f t="shared" si="10"/>
        <v>2.1965260084830854E-2</v>
      </c>
      <c r="N77" s="10">
        <f t="shared" si="11"/>
        <v>7.2611266386213454E-4</v>
      </c>
      <c r="O77" s="10">
        <f t="shared" si="12"/>
        <v>7.9790265587598315E-4</v>
      </c>
      <c r="P77" s="10">
        <f t="shared" si="13"/>
        <v>1.5206141116036085E-4</v>
      </c>
      <c r="Q77" s="10">
        <f t="shared" si="14"/>
        <v>7.9346793125405815E-5</v>
      </c>
      <c r="R77" s="10">
        <f t="shared" si="8"/>
        <v>0</v>
      </c>
      <c r="S77" s="11">
        <f t="shared" si="15"/>
        <v>3.5958113036323813</v>
      </c>
      <c r="T77" s="12">
        <v>2</v>
      </c>
      <c r="U77" s="13">
        <v>1</v>
      </c>
      <c r="V77" s="13">
        <v>1</v>
      </c>
      <c r="W77" s="14" t="s">
        <v>28</v>
      </c>
    </row>
    <row r="78" spans="1:23" ht="15" customHeight="1" x14ac:dyDescent="0.2">
      <c r="A78" s="8" t="s">
        <v>167</v>
      </c>
      <c r="B78" s="9" t="s">
        <v>168</v>
      </c>
      <c r="C78" s="9"/>
      <c r="D78" s="9" t="s">
        <v>27</v>
      </c>
      <c r="E78" s="9">
        <v>11.2</v>
      </c>
      <c r="F78" s="9">
        <v>873</v>
      </c>
      <c r="G78" s="9">
        <v>61.01</v>
      </c>
      <c r="H78" s="9">
        <v>43781</v>
      </c>
      <c r="I78" s="9">
        <v>6.9999999999999999E-4</v>
      </c>
      <c r="J78" s="9">
        <v>160850</v>
      </c>
      <c r="K78" s="9">
        <v>295340</v>
      </c>
      <c r="L78" s="10">
        <f t="shared" si="9"/>
        <v>3.2862207971475757E-4</v>
      </c>
      <c r="M78" s="10">
        <f t="shared" si="10"/>
        <v>2.1800886900529209E-2</v>
      </c>
      <c r="N78" s="10">
        <f t="shared" si="11"/>
        <v>7.2274499344203967E-4</v>
      </c>
      <c r="O78" s="10">
        <f t="shared" si="12"/>
        <v>7.9790265587598315E-4</v>
      </c>
      <c r="P78" s="10">
        <f t="shared" si="13"/>
        <v>9.6882983384076859E-5</v>
      </c>
      <c r="Q78" s="10">
        <f t="shared" si="14"/>
        <v>6.6086898069524797E-5</v>
      </c>
      <c r="R78" s="10">
        <f t="shared" si="8"/>
        <v>0</v>
      </c>
      <c r="S78" s="11">
        <f t="shared" si="15"/>
        <v>3.5590533388646071</v>
      </c>
      <c r="T78" s="12">
        <v>2</v>
      </c>
      <c r="U78" s="13">
        <v>1</v>
      </c>
      <c r="V78" s="13">
        <v>1</v>
      </c>
      <c r="W78" s="14" t="s">
        <v>28</v>
      </c>
    </row>
    <row r="79" spans="1:23" ht="15" customHeight="1" x14ac:dyDescent="0.2">
      <c r="A79" s="8" t="s">
        <v>169</v>
      </c>
      <c r="B79" s="9" t="s">
        <v>170</v>
      </c>
      <c r="C79" s="9"/>
      <c r="D79" s="9" t="s">
        <v>27</v>
      </c>
      <c r="E79" s="9">
        <v>4.7</v>
      </c>
      <c r="F79" s="9">
        <v>11518</v>
      </c>
      <c r="G79" s="9">
        <v>13.47</v>
      </c>
      <c r="H79" s="9">
        <v>145138</v>
      </c>
      <c r="I79" s="9">
        <v>2.0999999999999999E-3</v>
      </c>
      <c r="J79" s="9">
        <v>5289529</v>
      </c>
      <c r="K79" s="9">
        <v>14181026</v>
      </c>
      <c r="L79" s="10">
        <f t="shared" si="9"/>
        <v>4.3357034526398368E-3</v>
      </c>
      <c r="M79" s="10">
        <f t="shared" si="10"/>
        <v>4.8132756359634231E-3</v>
      </c>
      <c r="N79" s="10">
        <f t="shared" si="11"/>
        <v>2.3959654383908717E-3</v>
      </c>
      <c r="O79" s="10">
        <f t="shared" si="12"/>
        <v>2.3937079676279492E-3</v>
      </c>
      <c r="P79" s="10">
        <f t="shared" si="13"/>
        <v>3.185982904672631E-3</v>
      </c>
      <c r="Q79" s="10">
        <f t="shared" si="14"/>
        <v>3.1732241477052921E-3</v>
      </c>
      <c r="R79" s="10">
        <f t="shared" si="8"/>
        <v>0</v>
      </c>
      <c r="S79" s="11">
        <f t="shared" si="15"/>
        <v>3.1655533567095064</v>
      </c>
      <c r="T79" s="12">
        <v>2</v>
      </c>
      <c r="U79" s="13">
        <v>1</v>
      </c>
      <c r="V79" s="13">
        <v>1</v>
      </c>
      <c r="W79" s="14" t="s">
        <v>28</v>
      </c>
    </row>
    <row r="80" spans="1:23" ht="15" customHeight="1" x14ac:dyDescent="0.2">
      <c r="A80" s="8" t="s">
        <v>171</v>
      </c>
      <c r="B80" s="9" t="s">
        <v>172</v>
      </c>
      <c r="C80" s="9"/>
      <c r="D80" s="9" t="s">
        <v>27</v>
      </c>
      <c r="E80" s="9">
        <v>4.9000000000000004</v>
      </c>
      <c r="F80" s="9">
        <v>0</v>
      </c>
      <c r="G80" s="9">
        <v>0</v>
      </c>
      <c r="H80" s="9">
        <v>0</v>
      </c>
      <c r="I80" s="9">
        <v>1.21E-2</v>
      </c>
      <c r="J80" s="9">
        <v>0</v>
      </c>
      <c r="K80" s="9">
        <v>0</v>
      </c>
      <c r="L80" s="10">
        <f t="shared" si="9"/>
        <v>0</v>
      </c>
      <c r="M80" s="10">
        <f t="shared" si="10"/>
        <v>0</v>
      </c>
      <c r="N80" s="10">
        <f t="shared" si="11"/>
        <v>0</v>
      </c>
      <c r="O80" s="10">
        <f t="shared" si="12"/>
        <v>1.3792317337284851E-2</v>
      </c>
      <c r="P80" s="10">
        <f t="shared" si="13"/>
        <v>0</v>
      </c>
      <c r="Q80" s="10">
        <f t="shared" si="14"/>
        <v>0</v>
      </c>
      <c r="R80" s="10">
        <f t="shared" si="8"/>
        <v>0</v>
      </c>
      <c r="S80" s="11">
        <f t="shared" si="15"/>
        <v>2.0688476005927274</v>
      </c>
      <c r="T80" s="12">
        <v>2</v>
      </c>
      <c r="U80" s="13">
        <v>1</v>
      </c>
      <c r="V80" s="13">
        <v>1</v>
      </c>
      <c r="W80" s="14" t="s">
        <v>28</v>
      </c>
    </row>
    <row r="81" spans="1:23" ht="15" customHeight="1" x14ac:dyDescent="0.2">
      <c r="A81" s="8" t="s">
        <v>173</v>
      </c>
      <c r="B81" s="9" t="s">
        <v>174</v>
      </c>
      <c r="C81" s="9"/>
      <c r="D81" s="9" t="s">
        <v>27</v>
      </c>
      <c r="E81" s="9">
        <v>4.3</v>
      </c>
      <c r="F81" s="9">
        <v>3586</v>
      </c>
      <c r="G81" s="9">
        <v>10.56</v>
      </c>
      <c r="H81" s="9">
        <v>37857</v>
      </c>
      <c r="I81" s="9">
        <v>5.9999999999999995E-4</v>
      </c>
      <c r="J81" s="9">
        <v>683818</v>
      </c>
      <c r="K81" s="9">
        <v>2665768</v>
      </c>
      <c r="L81" s="10">
        <f t="shared" si="9"/>
        <v>1.3498725977744794E-3</v>
      </c>
      <c r="M81" s="10">
        <f t="shared" si="10"/>
        <v>3.7734365787508353E-3</v>
      </c>
      <c r="N81" s="10">
        <f t="shared" si="11"/>
        <v>6.2495048575261628E-4</v>
      </c>
      <c r="O81" s="10">
        <f t="shared" si="12"/>
        <v>6.8391656217941404E-4</v>
      </c>
      <c r="P81" s="10">
        <f t="shared" si="13"/>
        <v>4.1187645590135322E-4</v>
      </c>
      <c r="Q81" s="10">
        <f t="shared" si="14"/>
        <v>5.965068669770467E-4</v>
      </c>
      <c r="R81" s="10">
        <f t="shared" si="8"/>
        <v>0</v>
      </c>
      <c r="S81" s="11">
        <f t="shared" si="15"/>
        <v>1.158165831763619</v>
      </c>
      <c r="T81" s="12">
        <v>1</v>
      </c>
      <c r="U81" s="13">
        <v>0</v>
      </c>
      <c r="V81" s="13">
        <v>1</v>
      </c>
      <c r="W81" s="14" t="s">
        <v>28</v>
      </c>
    </row>
    <row r="82" spans="1:23" ht="15" customHeight="1" x14ac:dyDescent="0.2">
      <c r="A82" s="8" t="s">
        <v>175</v>
      </c>
      <c r="B82" s="9" t="s">
        <v>176</v>
      </c>
      <c r="C82" s="9"/>
      <c r="D82" s="9" t="s">
        <v>27</v>
      </c>
      <c r="E82" s="9">
        <v>10</v>
      </c>
      <c r="F82" s="9">
        <v>0</v>
      </c>
      <c r="G82" s="9">
        <v>0</v>
      </c>
      <c r="H82" s="9">
        <v>0</v>
      </c>
      <c r="I82" s="9">
        <v>6.4999999999999997E-3</v>
      </c>
      <c r="J82" s="9">
        <v>0</v>
      </c>
      <c r="K82" s="9">
        <v>0</v>
      </c>
      <c r="L82" s="10">
        <f t="shared" si="9"/>
        <v>0</v>
      </c>
      <c r="M82" s="10">
        <f t="shared" si="10"/>
        <v>0</v>
      </c>
      <c r="N82" s="10">
        <f t="shared" si="11"/>
        <v>0</v>
      </c>
      <c r="O82" s="10">
        <f t="shared" si="12"/>
        <v>7.409096090276986E-3</v>
      </c>
      <c r="P82" s="10">
        <f t="shared" si="13"/>
        <v>0</v>
      </c>
      <c r="Q82" s="10">
        <f t="shared" si="14"/>
        <v>0</v>
      </c>
      <c r="R82" s="10">
        <f t="shared" si="8"/>
        <v>0</v>
      </c>
      <c r="S82" s="11">
        <f t="shared" si="15"/>
        <v>1.1113644135415479</v>
      </c>
      <c r="T82" s="12">
        <v>2</v>
      </c>
      <c r="U82" s="13">
        <v>1</v>
      </c>
      <c r="V82" s="13">
        <v>1</v>
      </c>
      <c r="W82" s="14" t="s">
        <v>28</v>
      </c>
    </row>
    <row r="83" spans="1:23" ht="15" customHeight="1" x14ac:dyDescent="0.2">
      <c r="A83" s="8" t="s">
        <v>177</v>
      </c>
      <c r="B83" s="9" t="s">
        <v>178</v>
      </c>
      <c r="C83" s="9"/>
      <c r="D83" s="9" t="s">
        <v>27</v>
      </c>
      <c r="E83" s="9">
        <v>10</v>
      </c>
      <c r="F83" s="9">
        <v>0</v>
      </c>
      <c r="G83" s="9">
        <v>0</v>
      </c>
      <c r="H83" s="9">
        <v>0</v>
      </c>
      <c r="I83" s="9">
        <v>5.4000000000000003E-3</v>
      </c>
      <c r="J83" s="9">
        <v>0</v>
      </c>
      <c r="K83" s="9">
        <v>0</v>
      </c>
      <c r="L83" s="10">
        <f t="shared" si="9"/>
        <v>0</v>
      </c>
      <c r="M83" s="10">
        <f t="shared" si="10"/>
        <v>0</v>
      </c>
      <c r="N83" s="10">
        <f t="shared" si="11"/>
        <v>0</v>
      </c>
      <c r="O83" s="10">
        <f t="shared" si="12"/>
        <v>6.1552490596147279E-3</v>
      </c>
      <c r="P83" s="10">
        <f t="shared" si="13"/>
        <v>0</v>
      </c>
      <c r="Q83" s="10">
        <f t="shared" si="14"/>
        <v>0</v>
      </c>
      <c r="R83" s="10">
        <f t="shared" si="8"/>
        <v>0</v>
      </c>
      <c r="S83" s="11">
        <f t="shared" si="15"/>
        <v>0.92328735894220915</v>
      </c>
      <c r="T83" s="12">
        <v>2</v>
      </c>
      <c r="U83" s="13">
        <v>1</v>
      </c>
      <c r="V83" s="13">
        <v>1</v>
      </c>
      <c r="W83" s="14" t="s">
        <v>28</v>
      </c>
    </row>
    <row r="84" spans="1:23" ht="15" customHeight="1" x14ac:dyDescent="0.2">
      <c r="A84" s="8" t="s">
        <v>179</v>
      </c>
      <c r="B84" s="9" t="s">
        <v>180</v>
      </c>
      <c r="C84" s="9"/>
      <c r="D84" s="9" t="s">
        <v>27</v>
      </c>
      <c r="E84" s="9">
        <v>10</v>
      </c>
      <c r="F84" s="9">
        <v>0</v>
      </c>
      <c r="G84" s="9">
        <v>0</v>
      </c>
      <c r="H84" s="9">
        <v>0</v>
      </c>
      <c r="I84" s="9">
        <v>3.3E-3</v>
      </c>
      <c r="J84" s="9">
        <v>0</v>
      </c>
      <c r="K84" s="9">
        <v>0</v>
      </c>
      <c r="L84" s="10">
        <f t="shared" si="9"/>
        <v>0</v>
      </c>
      <c r="M84" s="10">
        <f t="shared" si="10"/>
        <v>0</v>
      </c>
      <c r="N84" s="10">
        <f t="shared" si="11"/>
        <v>0</v>
      </c>
      <c r="O84" s="10">
        <f t="shared" si="12"/>
        <v>3.7615410919867778E-3</v>
      </c>
      <c r="P84" s="10">
        <f t="shared" si="13"/>
        <v>0</v>
      </c>
      <c r="Q84" s="10">
        <f t="shared" si="14"/>
        <v>0</v>
      </c>
      <c r="R84" s="10">
        <f t="shared" si="8"/>
        <v>0</v>
      </c>
      <c r="S84" s="11">
        <f t="shared" si="15"/>
        <v>0.56423116379801663</v>
      </c>
      <c r="T84" s="12">
        <v>3</v>
      </c>
      <c r="U84" s="13">
        <v>1</v>
      </c>
      <c r="V84" s="13">
        <v>1</v>
      </c>
      <c r="W84" s="14" t="s">
        <v>28</v>
      </c>
    </row>
    <row r="85" spans="1:23" ht="15" customHeight="1" x14ac:dyDescent="0.2">
      <c r="A85" s="8" t="s">
        <v>181</v>
      </c>
      <c r="B85" s="9" t="s">
        <v>182</v>
      </c>
      <c r="C85" s="9"/>
      <c r="D85" s="9" t="s">
        <v>27</v>
      </c>
      <c r="E85" s="9">
        <v>4.5</v>
      </c>
      <c r="F85" s="9">
        <v>0</v>
      </c>
      <c r="G85" s="9">
        <v>0</v>
      </c>
      <c r="H85" s="9">
        <v>0</v>
      </c>
      <c r="I85" s="9">
        <v>3.2000000000000002E-3</v>
      </c>
      <c r="J85" s="9">
        <v>0</v>
      </c>
      <c r="K85" s="9">
        <v>0</v>
      </c>
      <c r="L85" s="10">
        <f t="shared" si="9"/>
        <v>0</v>
      </c>
      <c r="M85" s="10">
        <f t="shared" si="10"/>
        <v>0</v>
      </c>
      <c r="N85" s="10">
        <f t="shared" si="11"/>
        <v>0</v>
      </c>
      <c r="O85" s="10">
        <f t="shared" si="12"/>
        <v>3.6475549982902091E-3</v>
      </c>
      <c r="P85" s="10">
        <f t="shared" si="13"/>
        <v>0</v>
      </c>
      <c r="Q85" s="10">
        <f t="shared" si="14"/>
        <v>0</v>
      </c>
      <c r="R85" s="10">
        <f t="shared" si="8"/>
        <v>0</v>
      </c>
      <c r="S85" s="11">
        <f t="shared" si="15"/>
        <v>0.54713324974353128</v>
      </c>
      <c r="T85" s="12">
        <v>3</v>
      </c>
      <c r="U85" s="13">
        <v>1</v>
      </c>
      <c r="V85" s="13">
        <v>1</v>
      </c>
      <c r="W85" s="14" t="s">
        <v>28</v>
      </c>
    </row>
    <row r="86" spans="1:23" ht="15" customHeight="1" x14ac:dyDescent="0.2">
      <c r="A86" s="8" t="s">
        <v>183</v>
      </c>
      <c r="B86" s="9" t="s">
        <v>184</v>
      </c>
      <c r="C86" s="9" t="s">
        <v>217</v>
      </c>
      <c r="D86" s="9" t="s">
        <v>27</v>
      </c>
      <c r="E86" s="9">
        <v>6.1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0">
        <f t="shared" si="9"/>
        <v>0</v>
      </c>
      <c r="M86" s="10">
        <f t="shared" si="10"/>
        <v>0</v>
      </c>
      <c r="N86" s="10">
        <f t="shared" si="11"/>
        <v>0</v>
      </c>
      <c r="O86" s="10">
        <f t="shared" si="12"/>
        <v>0</v>
      </c>
      <c r="P86" s="10">
        <f t="shared" si="13"/>
        <v>0</v>
      </c>
      <c r="Q86" s="10">
        <f t="shared" si="14"/>
        <v>0</v>
      </c>
      <c r="R86" s="10">
        <f t="shared" si="8"/>
        <v>0</v>
      </c>
      <c r="S86" s="11">
        <f t="shared" si="15"/>
        <v>0</v>
      </c>
      <c r="T86" s="12">
        <v>2</v>
      </c>
      <c r="U86" s="13">
        <v>0</v>
      </c>
      <c r="V86" s="13">
        <v>1</v>
      </c>
      <c r="W86" s="14" t="s">
        <v>28</v>
      </c>
    </row>
    <row r="87" spans="1:23" ht="15" customHeight="1" x14ac:dyDescent="0.2">
      <c r="A87" s="15" t="s">
        <v>185</v>
      </c>
      <c r="B87" s="16" t="s">
        <v>186</v>
      </c>
      <c r="C87" s="16" t="s">
        <v>216</v>
      </c>
      <c r="D87" s="16" t="s">
        <v>27</v>
      </c>
      <c r="E87" s="16">
        <v>4.5999999999999996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0">
        <f t="shared" si="9"/>
        <v>0</v>
      </c>
      <c r="M87" s="10">
        <f t="shared" si="10"/>
        <v>0</v>
      </c>
      <c r="N87" s="10">
        <f t="shared" si="11"/>
        <v>0</v>
      </c>
      <c r="O87" s="10">
        <f t="shared" si="12"/>
        <v>0</v>
      </c>
      <c r="P87" s="10">
        <f t="shared" si="13"/>
        <v>0</v>
      </c>
      <c r="Q87" s="10">
        <f t="shared" si="14"/>
        <v>0</v>
      </c>
      <c r="R87" s="10">
        <f>IF(C87="DELI2GO",0.05,0)</f>
        <v>0.05</v>
      </c>
      <c r="S87" s="11">
        <f t="shared" si="15"/>
        <v>5.0000000000000009</v>
      </c>
      <c r="T87" s="19">
        <v>2</v>
      </c>
      <c r="U87" s="19">
        <v>0</v>
      </c>
      <c r="V87" s="19">
        <v>1</v>
      </c>
      <c r="W87" s="18" t="s">
        <v>187</v>
      </c>
    </row>
    <row r="88" spans="1:23" ht="15" customHeight="1" x14ac:dyDescent="0.2">
      <c r="A88" s="15" t="s">
        <v>188</v>
      </c>
      <c r="B88" s="16" t="s">
        <v>189</v>
      </c>
      <c r="C88" s="16" t="s">
        <v>216</v>
      </c>
      <c r="D88" s="16" t="s">
        <v>27</v>
      </c>
      <c r="E88" s="16">
        <v>4.5999999999999996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0">
        <f t="shared" si="9"/>
        <v>0</v>
      </c>
      <c r="M88" s="10">
        <f t="shared" si="10"/>
        <v>0</v>
      </c>
      <c r="N88" s="10">
        <f t="shared" si="11"/>
        <v>0</v>
      </c>
      <c r="O88" s="10">
        <f t="shared" si="12"/>
        <v>0</v>
      </c>
      <c r="P88" s="10">
        <f t="shared" si="13"/>
        <v>0</v>
      </c>
      <c r="Q88" s="10">
        <f t="shared" si="14"/>
        <v>0</v>
      </c>
      <c r="R88" s="10">
        <f>IF(C88="DELI2GO",0.05,0)</f>
        <v>0.05</v>
      </c>
      <c r="S88" s="11">
        <f t="shared" si="15"/>
        <v>5.0000000000000009</v>
      </c>
      <c r="T88" s="19">
        <v>2</v>
      </c>
      <c r="U88" s="19">
        <v>0</v>
      </c>
      <c r="V88" s="19">
        <v>1</v>
      </c>
      <c r="W88" s="18" t="s">
        <v>187</v>
      </c>
    </row>
    <row r="89" spans="1:23" ht="15" customHeight="1" x14ac:dyDescent="0.2"/>
    <row r="91" spans="1:23" ht="1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0947-F8D6-5749-BEF2-FC915416898F}">
  <dimension ref="A1:H82"/>
  <sheetViews>
    <sheetView tabSelected="1" topLeftCell="A47" workbookViewId="0">
      <selection activeCell="F86" sqref="F86"/>
    </sheetView>
  </sheetViews>
  <sheetFormatPr baseColWidth="10" defaultRowHeight="15" x14ac:dyDescent="0.2"/>
  <cols>
    <col min="2" max="2" width="23.83203125" customWidth="1"/>
  </cols>
  <sheetData>
    <row r="1" spans="1:8" x14ac:dyDescent="0.2">
      <c r="A1" s="39" t="s">
        <v>7</v>
      </c>
      <c r="B1" s="39" t="s">
        <v>8</v>
      </c>
      <c r="C1" s="39" t="s">
        <v>208</v>
      </c>
      <c r="D1" s="39" t="s">
        <v>9</v>
      </c>
      <c r="E1" s="39" t="s">
        <v>10</v>
      </c>
      <c r="F1" s="39" t="s">
        <v>218</v>
      </c>
      <c r="G1" s="39" t="s">
        <v>235</v>
      </c>
      <c r="H1" s="39" t="s">
        <v>24</v>
      </c>
    </row>
    <row r="2" spans="1:8" x14ac:dyDescent="0.2">
      <c r="A2" t="s">
        <v>25</v>
      </c>
      <c r="B2" t="s">
        <v>219</v>
      </c>
      <c r="C2" t="s">
        <v>209</v>
      </c>
      <c r="D2" t="s">
        <v>229</v>
      </c>
      <c r="E2">
        <v>4.8</v>
      </c>
      <c r="F2">
        <f>_xlfn.XLOOKUP(A2,Veri_Skor!A:A,Veri_Skor!S:S,"-",0)</f>
        <v>59.1363393455307</v>
      </c>
      <c r="G2" t="s">
        <v>233</v>
      </c>
      <c r="H2" t="s">
        <v>28</v>
      </c>
    </row>
    <row r="3" spans="1:8" x14ac:dyDescent="0.2">
      <c r="A3" t="s">
        <v>29</v>
      </c>
      <c r="B3" t="s">
        <v>220</v>
      </c>
      <c r="C3" t="s">
        <v>210</v>
      </c>
      <c r="D3" t="s">
        <v>229</v>
      </c>
      <c r="E3">
        <v>5.6</v>
      </c>
      <c r="F3">
        <f>_xlfn.XLOOKUP(A3,Veri_Skor!A:A,Veri_Skor!S:S,"-",0)</f>
        <v>56.468985660775402</v>
      </c>
      <c r="G3" t="s">
        <v>234</v>
      </c>
      <c r="H3" t="s">
        <v>28</v>
      </c>
    </row>
    <row r="4" spans="1:8" x14ac:dyDescent="0.2">
      <c r="A4" t="s">
        <v>31</v>
      </c>
      <c r="B4" t="s">
        <v>32</v>
      </c>
      <c r="C4" t="s">
        <v>211</v>
      </c>
      <c r="D4" t="s">
        <v>229</v>
      </c>
      <c r="E4">
        <v>4.9000000000000004</v>
      </c>
      <c r="F4">
        <f>_xlfn.XLOOKUP(A4,Veri_Skor!A:A,Veri_Skor!S:S,"-",0)</f>
        <v>46.826649089840259</v>
      </c>
      <c r="G4" t="s">
        <v>233</v>
      </c>
      <c r="H4" t="s">
        <v>28</v>
      </c>
    </row>
    <row r="5" spans="1:8" x14ac:dyDescent="0.2">
      <c r="A5" t="s">
        <v>33</v>
      </c>
      <c r="B5" t="s">
        <v>221</v>
      </c>
      <c r="D5" t="s">
        <v>229</v>
      </c>
      <c r="E5">
        <v>4.5</v>
      </c>
      <c r="F5">
        <f>_xlfn.XLOOKUP(A5,Veri_Skor!A:A,Veri_Skor!S:S,"-",0)</f>
        <v>45.287957820815414</v>
      </c>
      <c r="G5" t="s">
        <v>233</v>
      </c>
      <c r="H5" t="s">
        <v>28</v>
      </c>
    </row>
    <row r="6" spans="1:8" x14ac:dyDescent="0.2">
      <c r="A6" t="s">
        <v>35</v>
      </c>
      <c r="B6" t="s">
        <v>36</v>
      </c>
      <c r="C6" t="s">
        <v>212</v>
      </c>
      <c r="D6" t="s">
        <v>229</v>
      </c>
      <c r="E6">
        <v>4.9000000000000004</v>
      </c>
      <c r="F6">
        <f>_xlfn.XLOOKUP(A6,Veri_Skor!A:A,Veri_Skor!S:S,"-",0)</f>
        <v>42.451664474153702</v>
      </c>
      <c r="G6" t="s">
        <v>233</v>
      </c>
      <c r="H6" t="s">
        <v>28</v>
      </c>
    </row>
    <row r="7" spans="1:8" x14ac:dyDescent="0.2">
      <c r="A7" t="s">
        <v>37</v>
      </c>
      <c r="B7" t="s">
        <v>222</v>
      </c>
      <c r="C7" t="s">
        <v>209</v>
      </c>
      <c r="D7" t="s">
        <v>229</v>
      </c>
      <c r="E7">
        <v>4.7</v>
      </c>
      <c r="F7">
        <f>_xlfn.XLOOKUP(A7,Veri_Skor!A:A,Veri_Skor!S:S,"-",0)</f>
        <v>29.14178912823164</v>
      </c>
      <c r="G7" t="s">
        <v>233</v>
      </c>
      <c r="H7" t="s">
        <v>28</v>
      </c>
    </row>
    <row r="8" spans="1:8" x14ac:dyDescent="0.2">
      <c r="A8" t="s">
        <v>39</v>
      </c>
      <c r="B8" t="s">
        <v>223</v>
      </c>
      <c r="C8" t="s">
        <v>212</v>
      </c>
      <c r="D8" t="s">
        <v>229</v>
      </c>
      <c r="E8">
        <v>5.0999999999999996</v>
      </c>
      <c r="F8">
        <f>_xlfn.XLOOKUP(A8,Veri_Skor!A:A,Veri_Skor!S:S,"-",0)</f>
        <v>28.243149843362747</v>
      </c>
      <c r="G8" t="s">
        <v>233</v>
      </c>
      <c r="H8" t="s">
        <v>28</v>
      </c>
    </row>
    <row r="9" spans="1:8" x14ac:dyDescent="0.2">
      <c r="A9" t="s">
        <v>41</v>
      </c>
      <c r="B9" t="s">
        <v>42</v>
      </c>
      <c r="C9" t="s">
        <v>209</v>
      </c>
      <c r="D9" t="s">
        <v>229</v>
      </c>
      <c r="E9">
        <v>4.9000000000000004</v>
      </c>
      <c r="F9">
        <f>_xlfn.XLOOKUP(A9,Veri_Skor!A:A,Veri_Skor!S:S,"-",0)</f>
        <v>23.571886218753303</v>
      </c>
      <c r="G9" t="s">
        <v>233</v>
      </c>
      <c r="H9" t="s">
        <v>28</v>
      </c>
    </row>
    <row r="10" spans="1:8" x14ac:dyDescent="0.2">
      <c r="A10" t="s">
        <v>43</v>
      </c>
      <c r="B10" t="s">
        <v>44</v>
      </c>
      <c r="C10" t="s">
        <v>209</v>
      </c>
      <c r="D10" t="s">
        <v>229</v>
      </c>
      <c r="E10">
        <v>4.9000000000000004</v>
      </c>
      <c r="F10">
        <f>_xlfn.XLOOKUP(A10,Veri_Skor!A:A,Veri_Skor!S:S,"-",0)</f>
        <v>21.434512170415097</v>
      </c>
      <c r="G10" t="s">
        <v>233</v>
      </c>
      <c r="H10" t="s">
        <v>28</v>
      </c>
    </row>
    <row r="11" spans="1:8" x14ac:dyDescent="0.2">
      <c r="A11" t="s">
        <v>45</v>
      </c>
      <c r="B11" t="s">
        <v>46</v>
      </c>
      <c r="C11" t="s">
        <v>212</v>
      </c>
      <c r="D11" t="s">
        <v>229</v>
      </c>
      <c r="E11">
        <v>4.9000000000000004</v>
      </c>
      <c r="F11">
        <f>_xlfn.XLOOKUP(A11,Veri_Skor!A:A,Veri_Skor!S:S,"-",0)</f>
        <v>19.831407368085646</v>
      </c>
      <c r="G11" t="s">
        <v>233</v>
      </c>
      <c r="H11" t="s">
        <v>28</v>
      </c>
    </row>
    <row r="12" spans="1:8" x14ac:dyDescent="0.2">
      <c r="A12" t="s">
        <v>47</v>
      </c>
      <c r="B12" t="s">
        <v>214</v>
      </c>
      <c r="C12" t="s">
        <v>214</v>
      </c>
      <c r="D12" t="s">
        <v>229</v>
      </c>
      <c r="E12">
        <v>5.2</v>
      </c>
      <c r="F12">
        <f>_xlfn.XLOOKUP(A12,Veri_Skor!A:A,Veri_Skor!S:S,"-",0)</f>
        <v>18.159961541661573</v>
      </c>
      <c r="G12" t="s">
        <v>233</v>
      </c>
      <c r="H12" t="s">
        <v>28</v>
      </c>
    </row>
    <row r="13" spans="1:8" x14ac:dyDescent="0.2">
      <c r="A13" t="s">
        <v>49</v>
      </c>
      <c r="B13" t="s">
        <v>50</v>
      </c>
      <c r="C13" t="s">
        <v>212</v>
      </c>
      <c r="D13" t="s">
        <v>229</v>
      </c>
      <c r="E13">
        <v>4.9000000000000004</v>
      </c>
      <c r="F13">
        <f>_xlfn.XLOOKUP(A13,Veri_Skor!A:A,Veri_Skor!S:S,"-",0)</f>
        <v>17.44499613963799</v>
      </c>
      <c r="G13" t="s">
        <v>233</v>
      </c>
      <c r="H13" t="s">
        <v>28</v>
      </c>
    </row>
    <row r="14" spans="1:8" x14ac:dyDescent="0.2">
      <c r="A14" t="s">
        <v>51</v>
      </c>
      <c r="B14" t="s">
        <v>224</v>
      </c>
      <c r="C14" t="s">
        <v>209</v>
      </c>
      <c r="D14" t="s">
        <v>229</v>
      </c>
      <c r="E14">
        <v>6.8</v>
      </c>
      <c r="F14">
        <f>_xlfn.XLOOKUP(A14,Veri_Skor!A:A,Veri_Skor!S:S,"-",0)</f>
        <v>17.153468255847166</v>
      </c>
      <c r="G14" t="s">
        <v>233</v>
      </c>
      <c r="H14" t="s">
        <v>28</v>
      </c>
    </row>
    <row r="15" spans="1:8" x14ac:dyDescent="0.2">
      <c r="A15" t="s">
        <v>53</v>
      </c>
      <c r="B15" t="s">
        <v>225</v>
      </c>
      <c r="C15" t="s">
        <v>213</v>
      </c>
      <c r="D15" t="s">
        <v>229</v>
      </c>
      <c r="E15">
        <v>5</v>
      </c>
      <c r="F15">
        <f>_xlfn.XLOOKUP(A15,Veri_Skor!A:A,Veri_Skor!S:S,"-",0)</f>
        <v>16.771428939122295</v>
      </c>
      <c r="G15" t="s">
        <v>233</v>
      </c>
      <c r="H15" t="s">
        <v>28</v>
      </c>
    </row>
    <row r="16" spans="1:8" x14ac:dyDescent="0.2">
      <c r="A16" t="s">
        <v>55</v>
      </c>
      <c r="B16" t="s">
        <v>226</v>
      </c>
      <c r="C16" t="s">
        <v>209</v>
      </c>
      <c r="D16" t="s">
        <v>229</v>
      </c>
      <c r="E16">
        <v>4.8</v>
      </c>
      <c r="F16">
        <f>_xlfn.XLOOKUP(A16,Veri_Skor!A:A,Veri_Skor!S:S,"-",0)</f>
        <v>16.011136056471845</v>
      </c>
      <c r="G16" t="s">
        <v>233</v>
      </c>
      <c r="H16" t="s">
        <v>28</v>
      </c>
    </row>
    <row r="17" spans="1:8" x14ac:dyDescent="0.2">
      <c r="A17" t="s">
        <v>57</v>
      </c>
      <c r="B17" t="s">
        <v>227</v>
      </c>
      <c r="C17" t="s">
        <v>214</v>
      </c>
      <c r="D17" t="s">
        <v>229</v>
      </c>
      <c r="E17">
        <v>6.4</v>
      </c>
      <c r="F17">
        <f>_xlfn.XLOOKUP(A17,Veri_Skor!A:A,Veri_Skor!S:S,"-",0)</f>
        <v>15.847042192667082</v>
      </c>
      <c r="G17" t="s">
        <v>233</v>
      </c>
      <c r="H17" t="s">
        <v>28</v>
      </c>
    </row>
    <row r="18" spans="1:8" x14ac:dyDescent="0.2">
      <c r="A18" t="s">
        <v>59</v>
      </c>
      <c r="B18" t="s">
        <v>228</v>
      </c>
      <c r="C18" t="s">
        <v>209</v>
      </c>
      <c r="D18" t="s">
        <v>229</v>
      </c>
      <c r="E18">
        <v>5.0999999999999996</v>
      </c>
      <c r="F18">
        <f>_xlfn.XLOOKUP(A18,Veri_Skor!A:A,Veri_Skor!S:S,"-",0)</f>
        <v>15.124161411160783</v>
      </c>
      <c r="G18" t="s">
        <v>233</v>
      </c>
      <c r="H18" t="s">
        <v>28</v>
      </c>
    </row>
    <row r="19" spans="1:8" x14ac:dyDescent="0.2">
      <c r="A19" t="s">
        <v>61</v>
      </c>
      <c r="B19" t="s">
        <v>230</v>
      </c>
      <c r="C19" t="s">
        <v>209</v>
      </c>
      <c r="D19" t="s">
        <v>229</v>
      </c>
      <c r="E19">
        <v>6</v>
      </c>
      <c r="F19">
        <f>_xlfn.XLOOKUP(A19,Veri_Skor!A:A,Veri_Skor!S:S,"-",0)</f>
        <v>14.430151165866954</v>
      </c>
      <c r="G19" t="s">
        <v>233</v>
      </c>
      <c r="H19" t="s">
        <v>28</v>
      </c>
    </row>
    <row r="20" spans="1:8" x14ac:dyDescent="0.2">
      <c r="A20" t="s">
        <v>63</v>
      </c>
      <c r="B20" t="s">
        <v>231</v>
      </c>
      <c r="C20" t="s">
        <v>209</v>
      </c>
      <c r="D20" t="s">
        <v>229</v>
      </c>
      <c r="E20">
        <v>10</v>
      </c>
      <c r="F20">
        <f>_xlfn.XLOOKUP(A20,Veri_Skor!A:A,Veri_Skor!S:S,"-",0)</f>
        <v>13.629363701537004</v>
      </c>
      <c r="G20" t="s">
        <v>233</v>
      </c>
      <c r="H20" t="s">
        <v>28</v>
      </c>
    </row>
    <row r="21" spans="1:8" x14ac:dyDescent="0.2">
      <c r="A21" t="s">
        <v>65</v>
      </c>
      <c r="B21" t="s">
        <v>232</v>
      </c>
      <c r="C21" t="s">
        <v>215</v>
      </c>
      <c r="D21" t="s">
        <v>229</v>
      </c>
      <c r="E21">
        <v>4.5</v>
      </c>
      <c r="F21">
        <f>_xlfn.XLOOKUP(A21,Veri_Skor!A:A,Veri_Skor!S:S,"-",0)</f>
        <v>12.828780538851309</v>
      </c>
      <c r="G21" t="s">
        <v>233</v>
      </c>
      <c r="H21" t="s">
        <v>28</v>
      </c>
    </row>
    <row r="22" spans="1:8" x14ac:dyDescent="0.2">
      <c r="A22" t="s">
        <v>67</v>
      </c>
      <c r="B22" t="s">
        <v>68</v>
      </c>
      <c r="C22" t="s">
        <v>213</v>
      </c>
      <c r="D22" t="s">
        <v>229</v>
      </c>
      <c r="E22">
        <v>4.9000000000000004</v>
      </c>
      <c r="F22">
        <f>_xlfn.XLOOKUP(A22,Veri_Skor!A:A,Veri_Skor!S:S,"-",0)</f>
        <v>11.985917236404189</v>
      </c>
      <c r="G22" t="s">
        <v>233</v>
      </c>
      <c r="H22" t="s">
        <v>28</v>
      </c>
    </row>
    <row r="23" spans="1:8" x14ac:dyDescent="0.2">
      <c r="A23" t="s">
        <v>69</v>
      </c>
      <c r="B23" t="s">
        <v>70</v>
      </c>
      <c r="C23" t="s">
        <v>209</v>
      </c>
      <c r="D23" t="s">
        <v>229</v>
      </c>
      <c r="E23">
        <v>4.9000000000000004</v>
      </c>
      <c r="F23">
        <f>_xlfn.XLOOKUP(A23,Veri_Skor!A:A,Veri_Skor!S:S,"-",0)</f>
        <v>12.17559737929205</v>
      </c>
      <c r="G23" t="s">
        <v>233</v>
      </c>
      <c r="H23" t="s">
        <v>28</v>
      </c>
    </row>
    <row r="24" spans="1:8" x14ac:dyDescent="0.2">
      <c r="A24" t="s">
        <v>71</v>
      </c>
      <c r="B24" t="s">
        <v>72</v>
      </c>
      <c r="C24" t="s">
        <v>213</v>
      </c>
      <c r="D24" t="s">
        <v>229</v>
      </c>
      <c r="E24">
        <v>6</v>
      </c>
      <c r="F24">
        <f>_xlfn.XLOOKUP(A24,Veri_Skor!A:A,Veri_Skor!S:S,"-",0)</f>
        <v>11.964978094647163</v>
      </c>
      <c r="G24" t="s">
        <v>233</v>
      </c>
      <c r="H24" t="s">
        <v>28</v>
      </c>
    </row>
    <row r="25" spans="1:8" x14ac:dyDescent="0.2">
      <c r="A25" t="s">
        <v>73</v>
      </c>
      <c r="B25" t="s">
        <v>74</v>
      </c>
      <c r="C25" t="s">
        <v>209</v>
      </c>
      <c r="D25" t="s">
        <v>229</v>
      </c>
      <c r="E25">
        <v>4.8</v>
      </c>
      <c r="F25">
        <f>_xlfn.XLOOKUP(A25,Veri_Skor!A:A,Veri_Skor!S:S,"-",0)</f>
        <v>11.670355814777553</v>
      </c>
      <c r="G25" t="s">
        <v>233</v>
      </c>
      <c r="H25" t="s">
        <v>28</v>
      </c>
    </row>
    <row r="26" spans="1:8" x14ac:dyDescent="0.2">
      <c r="A26" t="s">
        <v>75</v>
      </c>
      <c r="B26" t="s">
        <v>76</v>
      </c>
      <c r="C26" t="s">
        <v>209</v>
      </c>
      <c r="D26" t="s">
        <v>229</v>
      </c>
      <c r="E26">
        <v>5.6</v>
      </c>
      <c r="F26">
        <f>_xlfn.XLOOKUP(A26,Veri_Skor!A:A,Veri_Skor!S:S,"-",0)</f>
        <v>11.284839099777276</v>
      </c>
      <c r="G26" t="s">
        <v>233</v>
      </c>
      <c r="H26" t="s">
        <v>28</v>
      </c>
    </row>
    <row r="27" spans="1:8" x14ac:dyDescent="0.2">
      <c r="A27" t="s">
        <v>77</v>
      </c>
      <c r="B27" t="s">
        <v>78</v>
      </c>
      <c r="C27" t="s">
        <v>213</v>
      </c>
      <c r="D27" t="s">
        <v>229</v>
      </c>
      <c r="E27">
        <v>5.2</v>
      </c>
      <c r="F27">
        <f>_xlfn.XLOOKUP(A27,Veri_Skor!A:A,Veri_Skor!S:S,"-",0)</f>
        <v>11.113110645964857</v>
      </c>
      <c r="G27" t="s">
        <v>233</v>
      </c>
      <c r="H27" t="s">
        <v>28</v>
      </c>
    </row>
    <row r="28" spans="1:8" x14ac:dyDescent="0.2">
      <c r="A28" t="s">
        <v>79</v>
      </c>
      <c r="B28" t="s">
        <v>80</v>
      </c>
      <c r="C28" t="s">
        <v>212</v>
      </c>
      <c r="D28" t="s">
        <v>229</v>
      </c>
      <c r="E28">
        <v>4.9000000000000004</v>
      </c>
      <c r="F28">
        <f>_xlfn.XLOOKUP(A28,Veri_Skor!A:A,Veri_Skor!S:S,"-",0)</f>
        <v>10.722115706095847</v>
      </c>
      <c r="G28" t="s">
        <v>233</v>
      </c>
      <c r="H28" t="s">
        <v>28</v>
      </c>
    </row>
    <row r="29" spans="1:8" x14ac:dyDescent="0.2">
      <c r="A29" t="s">
        <v>81</v>
      </c>
      <c r="B29" t="s">
        <v>82</v>
      </c>
      <c r="C29" t="s">
        <v>211</v>
      </c>
      <c r="D29" t="s">
        <v>229</v>
      </c>
      <c r="E29">
        <v>4.9000000000000004</v>
      </c>
      <c r="F29">
        <f>_xlfn.XLOOKUP(A29,Veri_Skor!A:A,Veri_Skor!S:S,"-",0)</f>
        <v>10.578448231594102</v>
      </c>
      <c r="G29" t="s">
        <v>233</v>
      </c>
      <c r="H29" t="s">
        <v>28</v>
      </c>
    </row>
    <row r="30" spans="1:8" x14ac:dyDescent="0.2">
      <c r="A30" t="s">
        <v>83</v>
      </c>
      <c r="B30" t="s">
        <v>84</v>
      </c>
      <c r="C30" t="s">
        <v>213</v>
      </c>
      <c r="D30" t="s">
        <v>229</v>
      </c>
      <c r="E30">
        <v>6</v>
      </c>
      <c r="F30">
        <f>_xlfn.XLOOKUP(A30,Veri_Skor!A:A,Veri_Skor!S:S,"-",0)</f>
        <v>10.42939223711474</v>
      </c>
      <c r="G30" t="s">
        <v>233</v>
      </c>
      <c r="H30" t="s">
        <v>28</v>
      </c>
    </row>
    <row r="31" spans="1:8" x14ac:dyDescent="0.2">
      <c r="A31" t="s">
        <v>85</v>
      </c>
      <c r="B31" t="s">
        <v>86</v>
      </c>
      <c r="C31" t="s">
        <v>209</v>
      </c>
      <c r="D31" t="s">
        <v>229</v>
      </c>
      <c r="E31">
        <v>4.5</v>
      </c>
      <c r="F31">
        <f>_xlfn.XLOOKUP(A31,Veri_Skor!A:A,Veri_Skor!S:S,"-",0)</f>
        <v>10.248428458555908</v>
      </c>
      <c r="G31" t="s">
        <v>233</v>
      </c>
      <c r="H31" t="s">
        <v>28</v>
      </c>
    </row>
    <row r="32" spans="1:8" x14ac:dyDescent="0.2">
      <c r="A32" t="s">
        <v>87</v>
      </c>
      <c r="B32" t="s">
        <v>88</v>
      </c>
      <c r="C32" t="s">
        <v>212</v>
      </c>
      <c r="D32" t="s">
        <v>229</v>
      </c>
      <c r="E32">
        <v>5.2</v>
      </c>
      <c r="F32">
        <f>_xlfn.XLOOKUP(A32,Veri_Skor!A:A,Veri_Skor!S:S,"-",0)</f>
        <v>9.4196319321024315</v>
      </c>
      <c r="G32" t="s">
        <v>233</v>
      </c>
      <c r="H32" t="s">
        <v>28</v>
      </c>
    </row>
    <row r="33" spans="1:8" x14ac:dyDescent="0.2">
      <c r="A33" t="s">
        <v>89</v>
      </c>
      <c r="B33" t="s">
        <v>90</v>
      </c>
      <c r="C33" t="s">
        <v>212</v>
      </c>
      <c r="D33" t="s">
        <v>229</v>
      </c>
      <c r="E33">
        <v>9</v>
      </c>
      <c r="F33">
        <f>_xlfn.XLOOKUP(A33,Veri_Skor!A:A,Veri_Skor!S:S,"-",0)</f>
        <v>9.6193638390195684</v>
      </c>
      <c r="G33" t="s">
        <v>233</v>
      </c>
      <c r="H33" t="s">
        <v>28</v>
      </c>
    </row>
    <row r="34" spans="1:8" x14ac:dyDescent="0.2">
      <c r="A34" t="s">
        <v>91</v>
      </c>
      <c r="B34" t="s">
        <v>92</v>
      </c>
      <c r="C34" t="s">
        <v>209</v>
      </c>
      <c r="D34" t="s">
        <v>229</v>
      </c>
      <c r="E34">
        <v>4.8</v>
      </c>
      <c r="F34">
        <f>_xlfn.XLOOKUP(A34,Veri_Skor!A:A,Veri_Skor!S:S,"-",0)</f>
        <v>9.105576712448471</v>
      </c>
      <c r="G34" t="s">
        <v>233</v>
      </c>
      <c r="H34" t="s">
        <v>28</v>
      </c>
    </row>
    <row r="35" spans="1:8" x14ac:dyDescent="0.2">
      <c r="A35" t="s">
        <v>93</v>
      </c>
      <c r="B35" t="s">
        <v>94</v>
      </c>
      <c r="C35" t="s">
        <v>209</v>
      </c>
      <c r="D35" t="s">
        <v>229</v>
      </c>
      <c r="E35">
        <v>4.5</v>
      </c>
      <c r="F35">
        <f>_xlfn.XLOOKUP(A35,Veri_Skor!A:A,Veri_Skor!S:S,"-",0)</f>
        <v>8.8627220919498466</v>
      </c>
      <c r="G35" t="s">
        <v>233</v>
      </c>
      <c r="H35" t="s">
        <v>28</v>
      </c>
    </row>
    <row r="36" spans="1:8" x14ac:dyDescent="0.2">
      <c r="A36" t="s">
        <v>95</v>
      </c>
      <c r="B36" t="s">
        <v>96</v>
      </c>
      <c r="C36" t="s">
        <v>215</v>
      </c>
      <c r="D36" t="s">
        <v>229</v>
      </c>
      <c r="E36">
        <v>9</v>
      </c>
      <c r="F36">
        <f>_xlfn.XLOOKUP(A36,Veri_Skor!A:A,Veri_Skor!S:S,"-",0)</f>
        <v>8.8438896571180905</v>
      </c>
      <c r="G36" t="s">
        <v>233</v>
      </c>
      <c r="H36" t="s">
        <v>28</v>
      </c>
    </row>
    <row r="37" spans="1:8" x14ac:dyDescent="0.2">
      <c r="A37" t="s">
        <v>97</v>
      </c>
      <c r="B37" t="s">
        <v>98</v>
      </c>
      <c r="C37" t="s">
        <v>211</v>
      </c>
      <c r="D37" t="s">
        <v>229</v>
      </c>
      <c r="E37">
        <v>10</v>
      </c>
      <c r="F37">
        <f>_xlfn.XLOOKUP(A37,Veri_Skor!A:A,Veri_Skor!S:S,"-",0)</f>
        <v>8.6340355264416182</v>
      </c>
      <c r="G37" t="s">
        <v>234</v>
      </c>
      <c r="H37" t="s">
        <v>28</v>
      </c>
    </row>
    <row r="38" spans="1:8" x14ac:dyDescent="0.2">
      <c r="A38" t="s">
        <v>99</v>
      </c>
      <c r="B38" t="s">
        <v>100</v>
      </c>
      <c r="C38" t="s">
        <v>212</v>
      </c>
      <c r="D38" t="s">
        <v>229</v>
      </c>
      <c r="E38">
        <v>4.9000000000000004</v>
      </c>
      <c r="F38">
        <f>_xlfn.XLOOKUP(A38,Veri_Skor!A:A,Veri_Skor!S:S,"-",0)</f>
        <v>8.0313033356285413</v>
      </c>
      <c r="G38" t="s">
        <v>233</v>
      </c>
      <c r="H38" t="s">
        <v>28</v>
      </c>
    </row>
    <row r="39" spans="1:8" x14ac:dyDescent="0.2">
      <c r="A39" t="s">
        <v>101</v>
      </c>
      <c r="B39" t="s">
        <v>102</v>
      </c>
      <c r="C39" t="s">
        <v>237</v>
      </c>
      <c r="D39" t="s">
        <v>229</v>
      </c>
      <c r="E39">
        <v>4.7</v>
      </c>
      <c r="F39">
        <f>_xlfn.XLOOKUP(A39,Veri_Skor!A:A,Veri_Skor!S:S,"-",0)</f>
        <v>7.7081785481921967</v>
      </c>
      <c r="G39" t="s">
        <v>233</v>
      </c>
      <c r="H39" t="s">
        <v>28</v>
      </c>
    </row>
    <row r="40" spans="1:8" x14ac:dyDescent="0.2">
      <c r="A40" t="s">
        <v>103</v>
      </c>
      <c r="B40" t="s">
        <v>104</v>
      </c>
      <c r="C40" t="s">
        <v>211</v>
      </c>
      <c r="D40" t="s">
        <v>229</v>
      </c>
      <c r="E40">
        <v>10.4</v>
      </c>
      <c r="F40">
        <f>_xlfn.XLOOKUP(A40,Veri_Skor!A:A,Veri_Skor!S:S,"-",0)</f>
        <v>7.5479083675198746</v>
      </c>
      <c r="G40" t="s">
        <v>234</v>
      </c>
      <c r="H40" t="s">
        <v>28</v>
      </c>
    </row>
    <row r="41" spans="1:8" x14ac:dyDescent="0.2">
      <c r="A41" t="s">
        <v>105</v>
      </c>
      <c r="B41" t="s">
        <v>106</v>
      </c>
      <c r="C41" t="s">
        <v>212</v>
      </c>
      <c r="D41" t="s">
        <v>229</v>
      </c>
      <c r="E41">
        <v>4.9000000000000004</v>
      </c>
      <c r="F41">
        <f>_xlfn.XLOOKUP(A41,Veri_Skor!A:A,Veri_Skor!S:S,"-",0)</f>
        <v>7.2162257106573238</v>
      </c>
      <c r="G41" t="s">
        <v>233</v>
      </c>
      <c r="H41" t="s">
        <v>28</v>
      </c>
    </row>
    <row r="42" spans="1:8" x14ac:dyDescent="0.2">
      <c r="A42" t="s">
        <v>107</v>
      </c>
      <c r="B42" t="s">
        <v>108</v>
      </c>
      <c r="C42" t="s">
        <v>238</v>
      </c>
      <c r="D42" t="s">
        <v>229</v>
      </c>
      <c r="E42">
        <v>5</v>
      </c>
      <c r="F42">
        <f>_xlfn.XLOOKUP(A42,Veri_Skor!A:A,Veri_Skor!S:S,"-",0)</f>
        <v>6.9159633593404113</v>
      </c>
      <c r="G42" t="s">
        <v>233</v>
      </c>
      <c r="H42" t="s">
        <v>28</v>
      </c>
    </row>
    <row r="43" spans="1:8" x14ac:dyDescent="0.2">
      <c r="A43" t="s">
        <v>109</v>
      </c>
      <c r="B43" t="s">
        <v>110</v>
      </c>
      <c r="C43" t="s">
        <v>215</v>
      </c>
      <c r="D43" t="s">
        <v>229</v>
      </c>
      <c r="E43">
        <v>9</v>
      </c>
      <c r="F43">
        <f>_xlfn.XLOOKUP(A43,Veri_Skor!A:A,Veri_Skor!S:S,"-",0)</f>
        <v>7.3464368231672044</v>
      </c>
      <c r="G43" t="s">
        <v>233</v>
      </c>
      <c r="H43" t="s">
        <v>28</v>
      </c>
    </row>
    <row r="44" spans="1:8" x14ac:dyDescent="0.2">
      <c r="A44" t="s">
        <v>111</v>
      </c>
      <c r="B44" t="s">
        <v>112</v>
      </c>
      <c r="C44" t="s">
        <v>217</v>
      </c>
      <c r="D44" t="s">
        <v>229</v>
      </c>
      <c r="E44">
        <v>5.2</v>
      </c>
      <c r="F44">
        <f>_xlfn.XLOOKUP(A44,Veri_Skor!A:A,Veri_Skor!S:S,"-",0)</f>
        <v>6.9404078524080699</v>
      </c>
      <c r="G44" t="s">
        <v>233</v>
      </c>
      <c r="H44" t="s">
        <v>28</v>
      </c>
    </row>
    <row r="45" spans="1:8" x14ac:dyDescent="0.2">
      <c r="A45" t="s">
        <v>113</v>
      </c>
      <c r="B45" t="s">
        <v>114</v>
      </c>
      <c r="C45" t="s">
        <v>209</v>
      </c>
      <c r="D45" t="s">
        <v>229</v>
      </c>
      <c r="E45">
        <v>8</v>
      </c>
      <c r="F45">
        <f>_xlfn.XLOOKUP(A45,Veri_Skor!A:A,Veri_Skor!S:S,"-",0)</f>
        <v>6.7300594231203403</v>
      </c>
      <c r="G45" t="s">
        <v>233</v>
      </c>
      <c r="H45" t="s">
        <v>28</v>
      </c>
    </row>
    <row r="46" spans="1:8" x14ac:dyDescent="0.2">
      <c r="A46" t="s">
        <v>115</v>
      </c>
      <c r="B46" t="s">
        <v>116</v>
      </c>
      <c r="C46" t="s">
        <v>215</v>
      </c>
      <c r="D46" t="s">
        <v>229</v>
      </c>
      <c r="E46">
        <v>10</v>
      </c>
      <c r="F46">
        <f>_xlfn.XLOOKUP(A46,Veri_Skor!A:A,Veri_Skor!S:S,"-",0)</f>
        <v>6.6747398414404815</v>
      </c>
      <c r="G46" t="s">
        <v>234</v>
      </c>
      <c r="H46" t="s">
        <v>28</v>
      </c>
    </row>
    <row r="47" spans="1:8" x14ac:dyDescent="0.2">
      <c r="A47" t="s">
        <v>117</v>
      </c>
      <c r="B47" t="s">
        <v>118</v>
      </c>
      <c r="C47" t="s">
        <v>215</v>
      </c>
      <c r="D47" t="s">
        <v>229</v>
      </c>
      <c r="E47">
        <v>5</v>
      </c>
      <c r="F47">
        <f>_xlfn.XLOOKUP(A47,Veri_Skor!A:A,Veri_Skor!S:S,"-",0)</f>
        <v>6.3142755171583334</v>
      </c>
      <c r="G47" t="s">
        <v>233</v>
      </c>
      <c r="H47" t="s">
        <v>28</v>
      </c>
    </row>
    <row r="48" spans="1:8" x14ac:dyDescent="0.2">
      <c r="A48" t="s">
        <v>119</v>
      </c>
      <c r="B48" t="s">
        <v>120</v>
      </c>
      <c r="C48" t="s">
        <v>209</v>
      </c>
      <c r="D48" t="s">
        <v>229</v>
      </c>
      <c r="E48">
        <v>9.1999999999999993</v>
      </c>
      <c r="F48">
        <f>_xlfn.XLOOKUP(A48,Veri_Skor!A:A,Veri_Skor!S:S,"-",0)</f>
        <v>6.5090778950388994</v>
      </c>
      <c r="G48" t="s">
        <v>233</v>
      </c>
      <c r="H48" t="s">
        <v>28</v>
      </c>
    </row>
    <row r="49" spans="1:8" x14ac:dyDescent="0.2">
      <c r="A49" t="s">
        <v>121</v>
      </c>
      <c r="B49" t="s">
        <v>122</v>
      </c>
      <c r="C49" t="s">
        <v>210</v>
      </c>
      <c r="D49" t="s">
        <v>229</v>
      </c>
      <c r="E49">
        <v>4.9000000000000004</v>
      </c>
      <c r="F49">
        <f>_xlfn.XLOOKUP(A49,Veri_Skor!A:A,Veri_Skor!S:S,"-",0)</f>
        <v>5.8718672299201309</v>
      </c>
      <c r="G49" t="s">
        <v>233</v>
      </c>
      <c r="H49" t="s">
        <v>28</v>
      </c>
    </row>
    <row r="50" spans="1:8" x14ac:dyDescent="0.2">
      <c r="A50" t="s">
        <v>123</v>
      </c>
      <c r="B50" t="s">
        <v>124</v>
      </c>
      <c r="C50" t="s">
        <v>209</v>
      </c>
      <c r="D50" t="s">
        <v>229</v>
      </c>
      <c r="E50">
        <v>4.5</v>
      </c>
      <c r="F50">
        <f>_xlfn.XLOOKUP(A50,Veri_Skor!A:A,Veri_Skor!S:S,"-",0)</f>
        <v>5.923696798844289</v>
      </c>
      <c r="G50" t="s">
        <v>233</v>
      </c>
      <c r="H50" t="s">
        <v>28</v>
      </c>
    </row>
    <row r="51" spans="1:8" x14ac:dyDescent="0.2">
      <c r="A51" t="s">
        <v>125</v>
      </c>
      <c r="B51" t="s">
        <v>126</v>
      </c>
      <c r="C51" t="s">
        <v>211</v>
      </c>
      <c r="D51" t="s">
        <v>229</v>
      </c>
      <c r="E51">
        <v>10.4</v>
      </c>
      <c r="F51">
        <f>_xlfn.XLOOKUP(A51,Veri_Skor!A:A,Veri_Skor!S:S,"-",0)</f>
        <v>6.0327110198108684</v>
      </c>
      <c r="G51" t="s">
        <v>234</v>
      </c>
      <c r="H51" t="s">
        <v>28</v>
      </c>
    </row>
    <row r="52" spans="1:8" x14ac:dyDescent="0.2">
      <c r="A52" t="s">
        <v>127</v>
      </c>
      <c r="B52" t="s">
        <v>128</v>
      </c>
      <c r="C52" t="s">
        <v>211</v>
      </c>
      <c r="D52" t="s">
        <v>229</v>
      </c>
      <c r="E52">
        <v>10.4</v>
      </c>
      <c r="F52">
        <f>_xlfn.XLOOKUP(A52,Veri_Skor!A:A,Veri_Skor!S:S,"-",0)</f>
        <v>5.9975707572144392</v>
      </c>
      <c r="G52" t="s">
        <v>234</v>
      </c>
      <c r="H52" t="s">
        <v>28</v>
      </c>
    </row>
    <row r="53" spans="1:8" x14ac:dyDescent="0.2">
      <c r="A53" t="s">
        <v>129</v>
      </c>
      <c r="B53" t="s">
        <v>130</v>
      </c>
      <c r="C53" t="s">
        <v>212</v>
      </c>
      <c r="D53" t="s">
        <v>229</v>
      </c>
      <c r="E53">
        <v>4.9000000000000004</v>
      </c>
      <c r="F53">
        <f>_xlfn.XLOOKUP(A53,Veri_Skor!A:A,Veri_Skor!S:S,"-",0)</f>
        <v>5.7130165878542956</v>
      </c>
      <c r="G53" t="s">
        <v>233</v>
      </c>
      <c r="H53" t="s">
        <v>28</v>
      </c>
    </row>
    <row r="54" spans="1:8" x14ac:dyDescent="0.2">
      <c r="A54" t="s">
        <v>131</v>
      </c>
      <c r="B54" t="s">
        <v>132</v>
      </c>
      <c r="C54" t="s">
        <v>238</v>
      </c>
      <c r="D54" t="s">
        <v>229</v>
      </c>
      <c r="E54">
        <v>5.3</v>
      </c>
      <c r="F54">
        <f>_xlfn.XLOOKUP(A54,Veri_Skor!A:A,Veri_Skor!S:S,"-",0)</f>
        <v>5.7310223789299393</v>
      </c>
      <c r="G54" t="s">
        <v>233</v>
      </c>
      <c r="H54" t="s">
        <v>28</v>
      </c>
    </row>
    <row r="55" spans="1:8" x14ac:dyDescent="0.2">
      <c r="A55" t="s">
        <v>133</v>
      </c>
      <c r="B55" t="s">
        <v>134</v>
      </c>
      <c r="C55" t="s">
        <v>215</v>
      </c>
      <c r="D55" t="s">
        <v>229</v>
      </c>
      <c r="E55">
        <v>4.9000000000000004</v>
      </c>
      <c r="F55">
        <f>_xlfn.XLOOKUP(A55,Veri_Skor!A:A,Veri_Skor!S:S,"-",0)</f>
        <v>5.5857787724022554</v>
      </c>
      <c r="G55" t="s">
        <v>233</v>
      </c>
      <c r="H55" t="s">
        <v>28</v>
      </c>
    </row>
    <row r="56" spans="1:8" x14ac:dyDescent="0.2">
      <c r="A56" t="s">
        <v>135</v>
      </c>
      <c r="B56" t="s">
        <v>136</v>
      </c>
      <c r="C56" t="s">
        <v>238</v>
      </c>
      <c r="D56" t="s">
        <v>229</v>
      </c>
      <c r="E56">
        <v>4.7</v>
      </c>
      <c r="F56">
        <f>_xlfn.XLOOKUP(A56,Veri_Skor!A:A,Veri_Skor!S:S,"-",0)</f>
        <v>5.4529179154956946</v>
      </c>
      <c r="G56" t="s">
        <v>233</v>
      </c>
      <c r="H56" t="s">
        <v>28</v>
      </c>
    </row>
    <row r="57" spans="1:8" x14ac:dyDescent="0.2">
      <c r="A57" t="s">
        <v>137</v>
      </c>
      <c r="B57" t="s">
        <v>138</v>
      </c>
      <c r="C57" t="s">
        <v>211</v>
      </c>
      <c r="D57" t="s">
        <v>229</v>
      </c>
      <c r="E57">
        <v>10</v>
      </c>
      <c r="F57">
        <f>_xlfn.XLOOKUP(A57,Veri_Skor!A:A,Veri_Skor!S:S,"-",0)</f>
        <v>5.4512061971740593</v>
      </c>
      <c r="G57" t="s">
        <v>234</v>
      </c>
      <c r="H57" t="s">
        <v>28</v>
      </c>
    </row>
    <row r="58" spans="1:8" x14ac:dyDescent="0.2">
      <c r="A58" t="s">
        <v>139</v>
      </c>
      <c r="B58" t="s">
        <v>140</v>
      </c>
      <c r="C58" t="s">
        <v>209</v>
      </c>
      <c r="D58" t="s">
        <v>229</v>
      </c>
      <c r="E58">
        <v>8.8000000000000007</v>
      </c>
      <c r="F58">
        <f>_xlfn.XLOOKUP(A58,Veri_Skor!A:A,Veri_Skor!S:S,"-",0)</f>
        <v>5.1839124895327036</v>
      </c>
      <c r="G58" t="s">
        <v>233</v>
      </c>
      <c r="H58" t="s">
        <v>28</v>
      </c>
    </row>
    <row r="59" spans="1:8" x14ac:dyDescent="0.2">
      <c r="A59" t="s">
        <v>141</v>
      </c>
      <c r="B59" t="s">
        <v>142</v>
      </c>
      <c r="C59" t="s">
        <v>211</v>
      </c>
      <c r="D59" t="s">
        <v>229</v>
      </c>
      <c r="E59">
        <v>10</v>
      </c>
      <c r="F59">
        <f>_xlfn.XLOOKUP(A59,Veri_Skor!A:A,Veri_Skor!S:S,"-",0)</f>
        <v>5.0603835867130291</v>
      </c>
      <c r="G59" t="s">
        <v>234</v>
      </c>
      <c r="H59" t="s">
        <v>28</v>
      </c>
    </row>
    <row r="60" spans="1:8" x14ac:dyDescent="0.2">
      <c r="A60" t="s">
        <v>143</v>
      </c>
      <c r="B60" t="s">
        <v>144</v>
      </c>
      <c r="C60" t="s">
        <v>212</v>
      </c>
      <c r="D60" t="s">
        <v>229</v>
      </c>
      <c r="E60">
        <v>4.9000000000000004</v>
      </c>
      <c r="F60">
        <f>_xlfn.XLOOKUP(A60,Veri_Skor!A:A,Veri_Skor!S:S,"-",0)</f>
        <v>4.9197475411631313</v>
      </c>
      <c r="G60" t="s">
        <v>233</v>
      </c>
      <c r="H60" t="s">
        <v>28</v>
      </c>
    </row>
    <row r="61" spans="1:8" x14ac:dyDescent="0.2">
      <c r="A61" t="s">
        <v>145</v>
      </c>
      <c r="B61" t="s">
        <v>146</v>
      </c>
      <c r="C61" t="s">
        <v>209</v>
      </c>
      <c r="D61" t="s">
        <v>229</v>
      </c>
      <c r="E61">
        <v>10</v>
      </c>
      <c r="F61">
        <f>_xlfn.XLOOKUP(A61,Veri_Skor!A:A,Veri_Skor!S:S,"-",0)</f>
        <v>5.0481861406180135</v>
      </c>
      <c r="G61" t="s">
        <v>234</v>
      </c>
      <c r="H61" t="s">
        <v>28</v>
      </c>
    </row>
    <row r="62" spans="1:8" x14ac:dyDescent="0.2">
      <c r="A62" t="s">
        <v>147</v>
      </c>
      <c r="B62" t="s">
        <v>148</v>
      </c>
      <c r="C62" t="s">
        <v>209</v>
      </c>
      <c r="D62" t="s">
        <v>229</v>
      </c>
      <c r="E62">
        <v>10</v>
      </c>
      <c r="F62">
        <f>_xlfn.XLOOKUP(A62,Veri_Skor!A:A,Veri_Skor!S:S,"-",0)</f>
        <v>4.6593402517959559</v>
      </c>
      <c r="G62" t="s">
        <v>234</v>
      </c>
      <c r="H62" t="s">
        <v>28</v>
      </c>
    </row>
    <row r="63" spans="1:8" x14ac:dyDescent="0.2">
      <c r="A63" t="s">
        <v>149</v>
      </c>
      <c r="B63" t="s">
        <v>150</v>
      </c>
      <c r="C63" t="s">
        <v>212</v>
      </c>
      <c r="D63" t="s">
        <v>229</v>
      </c>
      <c r="E63">
        <v>4.9000000000000004</v>
      </c>
      <c r="F63">
        <f>_xlfn.XLOOKUP(A63,Veri_Skor!A:A,Veri_Skor!S:S,"-",0)</f>
        <v>4.3236791082737733</v>
      </c>
      <c r="G63" t="s">
        <v>233</v>
      </c>
      <c r="H63" t="s">
        <v>28</v>
      </c>
    </row>
    <row r="64" spans="1:8" x14ac:dyDescent="0.2">
      <c r="A64" t="s">
        <v>151</v>
      </c>
      <c r="B64" t="s">
        <v>152</v>
      </c>
      <c r="C64" t="s">
        <v>211</v>
      </c>
      <c r="D64" t="s">
        <v>229</v>
      </c>
      <c r="E64">
        <v>10</v>
      </c>
      <c r="F64">
        <f>_xlfn.XLOOKUP(A64,Veri_Skor!A:A,Veri_Skor!S:S,"-",0)</f>
        <v>4.3855935633477161</v>
      </c>
      <c r="G64" t="s">
        <v>234</v>
      </c>
      <c r="H64" t="s">
        <v>28</v>
      </c>
    </row>
    <row r="65" spans="1:8" x14ac:dyDescent="0.2">
      <c r="A65" t="s">
        <v>153</v>
      </c>
      <c r="B65" t="s">
        <v>154</v>
      </c>
      <c r="C65" t="s">
        <v>212</v>
      </c>
      <c r="D65" t="s">
        <v>229</v>
      </c>
      <c r="E65">
        <v>4.9000000000000004</v>
      </c>
      <c r="F65">
        <f>_xlfn.XLOOKUP(A65,Veri_Skor!A:A,Veri_Skor!S:S,"-",0)</f>
        <v>4.4351015498838207</v>
      </c>
      <c r="G65" t="s">
        <v>233</v>
      </c>
      <c r="H65" t="s">
        <v>28</v>
      </c>
    </row>
    <row r="66" spans="1:8" x14ac:dyDescent="0.2">
      <c r="A66" t="s">
        <v>155</v>
      </c>
      <c r="B66" t="s">
        <v>156</v>
      </c>
      <c r="C66" t="s">
        <v>209</v>
      </c>
      <c r="D66" t="s">
        <v>229</v>
      </c>
      <c r="E66">
        <v>10</v>
      </c>
      <c r="F66">
        <f>_xlfn.XLOOKUP(A66,Veri_Skor!A:A,Veri_Skor!S:S,"-",0)</f>
        <v>4.33428070415032</v>
      </c>
      <c r="G66" t="s">
        <v>234</v>
      </c>
      <c r="H66" t="s">
        <v>28</v>
      </c>
    </row>
    <row r="67" spans="1:8" x14ac:dyDescent="0.2">
      <c r="A67" t="s">
        <v>157</v>
      </c>
      <c r="B67" t="s">
        <v>158</v>
      </c>
      <c r="C67" t="s">
        <v>209</v>
      </c>
      <c r="D67" t="s">
        <v>229</v>
      </c>
      <c r="E67">
        <v>5.0999999999999996</v>
      </c>
      <c r="F67">
        <f>_xlfn.XLOOKUP(A67,Veri_Skor!A:A,Veri_Skor!S:S,"-",0)</f>
        <v>3.9163844903307483</v>
      </c>
      <c r="G67" t="s">
        <v>233</v>
      </c>
      <c r="H67" t="s">
        <v>28</v>
      </c>
    </row>
    <row r="68" spans="1:8" x14ac:dyDescent="0.2">
      <c r="A68" t="s">
        <v>159</v>
      </c>
      <c r="B68" t="s">
        <v>160</v>
      </c>
      <c r="C68" t="s">
        <v>215</v>
      </c>
      <c r="D68" t="s">
        <v>229</v>
      </c>
      <c r="E68">
        <v>4.9000000000000004</v>
      </c>
      <c r="F68">
        <f>_xlfn.XLOOKUP(A68,Veri_Skor!A:A,Veri_Skor!S:S,"-",0)</f>
        <v>3.8216531212396743</v>
      </c>
      <c r="G68" t="s">
        <v>233</v>
      </c>
      <c r="H68" t="s">
        <v>28</v>
      </c>
    </row>
    <row r="69" spans="1:8" x14ac:dyDescent="0.2">
      <c r="A69" t="s">
        <v>161</v>
      </c>
      <c r="B69" t="s">
        <v>162</v>
      </c>
      <c r="C69" t="s">
        <v>215</v>
      </c>
      <c r="D69" t="s">
        <v>229</v>
      </c>
      <c r="E69">
        <v>4.4000000000000004</v>
      </c>
      <c r="F69">
        <f>_xlfn.XLOOKUP(A69,Veri_Skor!A:A,Veri_Skor!S:S,"-",0)</f>
        <v>3.549719057945087</v>
      </c>
      <c r="G69" t="s">
        <v>233</v>
      </c>
      <c r="H69" t="s">
        <v>28</v>
      </c>
    </row>
    <row r="70" spans="1:8" x14ac:dyDescent="0.2">
      <c r="A70" t="s">
        <v>163</v>
      </c>
      <c r="B70" t="s">
        <v>164</v>
      </c>
      <c r="C70" t="s">
        <v>209</v>
      </c>
      <c r="D70" t="s">
        <v>229</v>
      </c>
      <c r="E70">
        <v>10</v>
      </c>
      <c r="F70">
        <f>_xlfn.XLOOKUP(A70,Veri_Skor!A:A,Veri_Skor!S:S,"-",0)</f>
        <v>3.5209727200086176</v>
      </c>
      <c r="G70" t="s">
        <v>234</v>
      </c>
      <c r="H70" t="s">
        <v>28</v>
      </c>
    </row>
    <row r="71" spans="1:8" x14ac:dyDescent="0.2">
      <c r="A71" t="s">
        <v>165</v>
      </c>
      <c r="B71" t="s">
        <v>166</v>
      </c>
      <c r="C71" t="s">
        <v>238</v>
      </c>
      <c r="D71" t="s">
        <v>229</v>
      </c>
      <c r="E71">
        <v>11.2</v>
      </c>
      <c r="F71">
        <f>_xlfn.XLOOKUP(A71,Veri_Skor!A:A,Veri_Skor!S:S,"-",0)</f>
        <v>3.5958113036323813</v>
      </c>
      <c r="G71" t="s">
        <v>234</v>
      </c>
      <c r="H71" t="s">
        <v>28</v>
      </c>
    </row>
    <row r="72" spans="1:8" x14ac:dyDescent="0.2">
      <c r="A72" t="s">
        <v>167</v>
      </c>
      <c r="B72" t="s">
        <v>168</v>
      </c>
      <c r="C72" t="s">
        <v>238</v>
      </c>
      <c r="D72" t="s">
        <v>229</v>
      </c>
      <c r="E72">
        <v>11.2</v>
      </c>
      <c r="F72">
        <f>_xlfn.XLOOKUP(A72,Veri_Skor!A:A,Veri_Skor!S:S,"-",0)</f>
        <v>3.5590533388646071</v>
      </c>
      <c r="G72" t="s">
        <v>234</v>
      </c>
      <c r="H72" t="s">
        <v>28</v>
      </c>
    </row>
    <row r="73" spans="1:8" x14ac:dyDescent="0.2">
      <c r="A73" t="s">
        <v>169</v>
      </c>
      <c r="B73" t="s">
        <v>170</v>
      </c>
      <c r="C73" t="s">
        <v>215</v>
      </c>
      <c r="D73" t="s">
        <v>229</v>
      </c>
      <c r="E73">
        <v>4.7</v>
      </c>
      <c r="F73">
        <f>_xlfn.XLOOKUP(A73,Veri_Skor!A:A,Veri_Skor!S:S,"-",0)</f>
        <v>3.1655533567095064</v>
      </c>
      <c r="G73" t="s">
        <v>233</v>
      </c>
      <c r="H73" t="s">
        <v>28</v>
      </c>
    </row>
    <row r="74" spans="1:8" x14ac:dyDescent="0.2">
      <c r="A74" t="s">
        <v>171</v>
      </c>
      <c r="B74" t="s">
        <v>172</v>
      </c>
      <c r="C74" t="s">
        <v>238</v>
      </c>
      <c r="D74" t="s">
        <v>229</v>
      </c>
      <c r="E74">
        <v>4.9000000000000004</v>
      </c>
      <c r="F74">
        <f>_xlfn.XLOOKUP(A74,Veri_Skor!A:A,Veri_Skor!S:S,"-",0)</f>
        <v>2.0688476005927274</v>
      </c>
      <c r="G74" t="s">
        <v>233</v>
      </c>
      <c r="H74" t="s">
        <v>28</v>
      </c>
    </row>
    <row r="75" spans="1:8" x14ac:dyDescent="0.2">
      <c r="A75" t="s">
        <v>173</v>
      </c>
      <c r="B75" t="s">
        <v>174</v>
      </c>
      <c r="C75" t="s">
        <v>238</v>
      </c>
      <c r="D75" t="s">
        <v>229</v>
      </c>
      <c r="E75">
        <v>4.3</v>
      </c>
      <c r="F75">
        <f>_xlfn.XLOOKUP(A75,Veri_Skor!A:A,Veri_Skor!S:S,"-",0)</f>
        <v>1.158165831763619</v>
      </c>
      <c r="G75" t="s">
        <v>233</v>
      </c>
      <c r="H75" t="s">
        <v>28</v>
      </c>
    </row>
    <row r="76" spans="1:8" x14ac:dyDescent="0.2">
      <c r="A76" t="s">
        <v>175</v>
      </c>
      <c r="B76" t="s">
        <v>176</v>
      </c>
      <c r="C76" t="s">
        <v>239</v>
      </c>
      <c r="D76" t="s">
        <v>229</v>
      </c>
      <c r="E76">
        <v>10</v>
      </c>
      <c r="F76">
        <f>_xlfn.XLOOKUP(A76,Veri_Skor!A:A,Veri_Skor!S:S,"-",0)</f>
        <v>1.1113644135415479</v>
      </c>
      <c r="G76" t="s">
        <v>234</v>
      </c>
      <c r="H76" t="s">
        <v>28</v>
      </c>
    </row>
    <row r="77" spans="1:8" x14ac:dyDescent="0.2">
      <c r="A77" t="s">
        <v>177</v>
      </c>
      <c r="B77" t="s">
        <v>178</v>
      </c>
      <c r="C77" t="s">
        <v>239</v>
      </c>
      <c r="D77" t="s">
        <v>229</v>
      </c>
      <c r="E77">
        <v>10</v>
      </c>
      <c r="F77">
        <f>_xlfn.XLOOKUP(A77,Veri_Skor!A:A,Veri_Skor!S:S,"-",0)</f>
        <v>0.92328735894220915</v>
      </c>
      <c r="G77" t="s">
        <v>234</v>
      </c>
      <c r="H77" t="s">
        <v>28</v>
      </c>
    </row>
    <row r="78" spans="1:8" x14ac:dyDescent="0.2">
      <c r="A78" t="s">
        <v>179</v>
      </c>
      <c r="B78" t="s">
        <v>180</v>
      </c>
      <c r="C78" t="s">
        <v>239</v>
      </c>
      <c r="D78" t="s">
        <v>229</v>
      </c>
      <c r="E78">
        <v>10</v>
      </c>
      <c r="F78">
        <f>_xlfn.XLOOKUP(A78,Veri_Skor!A:A,Veri_Skor!S:S,"-",0)</f>
        <v>0.56423116379801663</v>
      </c>
      <c r="G78" t="s">
        <v>234</v>
      </c>
      <c r="H78" t="s">
        <v>28</v>
      </c>
    </row>
    <row r="79" spans="1:8" x14ac:dyDescent="0.2">
      <c r="A79" t="s">
        <v>181</v>
      </c>
      <c r="B79" t="s">
        <v>182</v>
      </c>
      <c r="C79" t="s">
        <v>210</v>
      </c>
      <c r="D79" t="s">
        <v>229</v>
      </c>
      <c r="E79">
        <v>4.5</v>
      </c>
      <c r="F79">
        <f>_xlfn.XLOOKUP(A79,Veri_Skor!A:A,Veri_Skor!S:S,"-",0)</f>
        <v>0.54713324974353128</v>
      </c>
      <c r="G79" t="s">
        <v>233</v>
      </c>
      <c r="H79" t="s">
        <v>28</v>
      </c>
    </row>
    <row r="80" spans="1:8" x14ac:dyDescent="0.2">
      <c r="A80" t="s">
        <v>183</v>
      </c>
      <c r="B80" t="s">
        <v>184</v>
      </c>
      <c r="C80" t="s">
        <v>217</v>
      </c>
      <c r="D80" t="s">
        <v>229</v>
      </c>
      <c r="E80">
        <v>6.1</v>
      </c>
      <c r="F80">
        <f>_xlfn.XLOOKUP(A80,Veri_Skor!A:A,Veri_Skor!S:S,"-",0)</f>
        <v>0</v>
      </c>
      <c r="G80" t="s">
        <v>233</v>
      </c>
      <c r="H80" t="s">
        <v>28</v>
      </c>
    </row>
    <row r="81" spans="1:8" x14ac:dyDescent="0.2">
      <c r="A81" t="s">
        <v>185</v>
      </c>
      <c r="B81" t="s">
        <v>186</v>
      </c>
      <c r="C81" t="s">
        <v>216</v>
      </c>
      <c r="D81" t="s">
        <v>229</v>
      </c>
      <c r="E81">
        <v>4.5999999999999996</v>
      </c>
      <c r="F81">
        <f>_xlfn.XLOOKUP(A81,Veri_Skor!A:A,Veri_Skor!S:S,"-",0)</f>
        <v>5.0000000000000009</v>
      </c>
      <c r="G81" t="s">
        <v>233</v>
      </c>
      <c r="H81" t="s">
        <v>187</v>
      </c>
    </row>
    <row r="82" spans="1:8" x14ac:dyDescent="0.2">
      <c r="A82" t="s">
        <v>188</v>
      </c>
      <c r="B82" t="s">
        <v>189</v>
      </c>
      <c r="C82" t="s">
        <v>216</v>
      </c>
      <c r="D82" t="s">
        <v>229</v>
      </c>
      <c r="E82">
        <v>4.5999999999999996</v>
      </c>
      <c r="F82">
        <f>_xlfn.XLOOKUP(A82,Veri_Skor!A:A,Veri_Skor!S:S,"-",0)</f>
        <v>5.0000000000000009</v>
      </c>
      <c r="G82" t="s">
        <v>233</v>
      </c>
      <c r="H82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4"/>
  <sheetViews>
    <sheetView zoomScaleNormal="100" workbookViewId="0">
      <selection activeCell="E90" sqref="E90"/>
    </sheetView>
  </sheetViews>
  <sheetFormatPr baseColWidth="10" defaultColWidth="8.6640625" defaultRowHeight="15" x14ac:dyDescent="0.2"/>
  <cols>
    <col min="1" max="1" width="15" customWidth="1"/>
    <col min="2" max="3" width="12" customWidth="1"/>
    <col min="4" max="5" width="11" customWidth="1"/>
    <col min="6" max="6" width="14" customWidth="1"/>
    <col min="7" max="10" width="12" customWidth="1"/>
    <col min="11" max="11" width="14" customWidth="1"/>
  </cols>
  <sheetData>
    <row r="1" spans="1:12" ht="3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4.75" customHeight="1" x14ac:dyDescent="0.2">
      <c r="A2" s="20" t="s">
        <v>7</v>
      </c>
      <c r="B2" s="21" t="s">
        <v>8</v>
      </c>
      <c r="C2" s="21" t="s">
        <v>20</v>
      </c>
      <c r="D2" s="21" t="s">
        <v>10</v>
      </c>
      <c r="E2" s="21" t="s">
        <v>21</v>
      </c>
      <c r="F2" s="21" t="s">
        <v>23</v>
      </c>
      <c r="G2" s="21" t="s">
        <v>190</v>
      </c>
      <c r="H2" s="21" t="s">
        <v>191</v>
      </c>
      <c r="I2" s="21" t="s">
        <v>192</v>
      </c>
      <c r="J2" s="21" t="s">
        <v>193</v>
      </c>
      <c r="K2" s="21" t="s">
        <v>194</v>
      </c>
      <c r="L2" s="21" t="s">
        <v>195</v>
      </c>
    </row>
    <row r="3" spans="1:12" ht="15" customHeight="1" x14ac:dyDescent="0.2">
      <c r="A3" s="22" t="s">
        <v>25</v>
      </c>
      <c r="B3" s="23" t="s">
        <v>26</v>
      </c>
      <c r="C3" s="35">
        <f>_xlfn.XLOOKUP('2016 Ihlamur'!A3,Veri_Skor!A:A,Veri_Skor!S:S,"-",0)</f>
        <v>59.1363393455307</v>
      </c>
      <c r="D3" s="23">
        <v>4.8</v>
      </c>
      <c r="E3" s="23">
        <v>4</v>
      </c>
      <c r="F3" s="23">
        <v>1</v>
      </c>
      <c r="G3" s="24">
        <v>348723</v>
      </c>
      <c r="H3" s="25">
        <v>23719</v>
      </c>
      <c r="I3" s="26">
        <v>11329</v>
      </c>
      <c r="J3" s="27">
        <v>21004</v>
      </c>
      <c r="K3" s="28">
        <v>17712</v>
      </c>
      <c r="L3" s="29">
        <v>73764</v>
      </c>
    </row>
    <row r="4" spans="1:12" ht="15" customHeight="1" x14ac:dyDescent="0.2">
      <c r="A4" s="22" t="s">
        <v>29</v>
      </c>
      <c r="B4" s="23" t="s">
        <v>30</v>
      </c>
      <c r="C4" s="35">
        <f>_xlfn.XLOOKUP('2016 Ihlamur'!A4,Veri_Skor!A:A,Veri_Skor!S:S,"-",0)</f>
        <v>56.468985660775402</v>
      </c>
      <c r="D4" s="23">
        <v>5.6</v>
      </c>
      <c r="E4" s="23">
        <v>4</v>
      </c>
      <c r="F4" s="23">
        <v>1</v>
      </c>
      <c r="G4" s="24">
        <v>107616</v>
      </c>
      <c r="H4" s="25">
        <v>6594</v>
      </c>
      <c r="I4" s="26">
        <v>4256</v>
      </c>
      <c r="J4" s="27">
        <v>3483</v>
      </c>
      <c r="K4" s="28">
        <v>7746</v>
      </c>
      <c r="L4" s="29">
        <v>22079</v>
      </c>
    </row>
    <row r="5" spans="1:12" ht="15" customHeight="1" x14ac:dyDescent="0.2">
      <c r="A5" s="22" t="s">
        <v>31</v>
      </c>
      <c r="B5" s="23" t="s">
        <v>32</v>
      </c>
      <c r="C5" s="35">
        <f>_xlfn.XLOOKUP('2016 Ihlamur'!A5,Veri_Skor!A:A,Veri_Skor!S:S,"-",0)</f>
        <v>46.826649089840259</v>
      </c>
      <c r="D5" s="23">
        <v>4.9000000000000004</v>
      </c>
      <c r="E5" s="23">
        <v>4</v>
      </c>
      <c r="F5" s="23">
        <v>1</v>
      </c>
      <c r="G5" s="24">
        <v>147194</v>
      </c>
      <c r="H5" s="25">
        <v>7570</v>
      </c>
      <c r="I5" s="26">
        <v>2769</v>
      </c>
      <c r="J5" s="27">
        <v>3579</v>
      </c>
      <c r="K5" s="28">
        <v>5253</v>
      </c>
      <c r="L5" s="29">
        <v>19171</v>
      </c>
    </row>
    <row r="6" spans="1:12" ht="15" customHeight="1" x14ac:dyDescent="0.2">
      <c r="A6" s="22" t="s">
        <v>33</v>
      </c>
      <c r="B6" s="23" t="s">
        <v>34</v>
      </c>
      <c r="C6" s="35">
        <f>_xlfn.XLOOKUP('2016 Ihlamur'!A6,Veri_Skor!A:A,Veri_Skor!S:S,"-",0)</f>
        <v>45.287957820815414</v>
      </c>
      <c r="D6" s="23">
        <v>4.5</v>
      </c>
      <c r="E6" s="23">
        <v>3</v>
      </c>
      <c r="F6" s="23">
        <v>1</v>
      </c>
      <c r="G6" s="24">
        <v>126564</v>
      </c>
      <c r="H6" s="25">
        <v>2326</v>
      </c>
      <c r="I6" s="26">
        <v>9901</v>
      </c>
      <c r="J6" s="27">
        <v>2573</v>
      </c>
      <c r="K6" s="28">
        <v>3539</v>
      </c>
      <c r="L6" s="29">
        <v>18339</v>
      </c>
    </row>
    <row r="7" spans="1:12" ht="15" customHeight="1" x14ac:dyDescent="0.2">
      <c r="A7" s="22" t="s">
        <v>35</v>
      </c>
      <c r="B7" s="23" t="s">
        <v>36</v>
      </c>
      <c r="C7" s="35">
        <f>_xlfn.XLOOKUP('2016 Ihlamur'!A7,Veri_Skor!A:A,Veri_Skor!S:S,"-",0)</f>
        <v>42.451664474153702</v>
      </c>
      <c r="D7" s="23">
        <v>4.9000000000000004</v>
      </c>
      <c r="E7" s="23">
        <v>3</v>
      </c>
      <c r="F7" s="23">
        <v>1</v>
      </c>
      <c r="G7" s="24">
        <v>133104</v>
      </c>
      <c r="H7" s="25">
        <v>8021</v>
      </c>
      <c r="I7" s="26">
        <v>6606</v>
      </c>
      <c r="J7" s="27">
        <v>14293</v>
      </c>
      <c r="K7" s="28">
        <v>9400</v>
      </c>
      <c r="L7" s="29">
        <v>38320</v>
      </c>
    </row>
    <row r="8" spans="1:12" ht="15" customHeight="1" x14ac:dyDescent="0.2">
      <c r="A8" s="22" t="s">
        <v>37</v>
      </c>
      <c r="B8" s="23" t="s">
        <v>38</v>
      </c>
      <c r="C8" s="35">
        <f>_xlfn.XLOOKUP('2016 Ihlamur'!A8,Veri_Skor!A:A,Veri_Skor!S:S,"-",0)</f>
        <v>29.14178912823164</v>
      </c>
      <c r="D8" s="23">
        <v>4.7</v>
      </c>
      <c r="E8" s="23">
        <v>4</v>
      </c>
      <c r="F8" s="23">
        <v>1</v>
      </c>
      <c r="G8" s="24">
        <v>108865</v>
      </c>
      <c r="H8" s="25">
        <v>6722</v>
      </c>
      <c r="I8" s="26">
        <v>5730</v>
      </c>
      <c r="J8" s="27">
        <v>2354</v>
      </c>
      <c r="K8" s="28">
        <v>3396</v>
      </c>
      <c r="L8" s="29">
        <v>18202</v>
      </c>
    </row>
    <row r="9" spans="1:12" ht="15" customHeight="1" x14ac:dyDescent="0.2">
      <c r="A9" s="22" t="s">
        <v>39</v>
      </c>
      <c r="B9" s="23" t="s">
        <v>40</v>
      </c>
      <c r="C9" s="35">
        <f>_xlfn.XLOOKUP('2016 Ihlamur'!A9,Veri_Skor!A:A,Veri_Skor!S:S,"-",0)</f>
        <v>28.243149843362747</v>
      </c>
      <c r="D9" s="23">
        <v>5.0999999999999996</v>
      </c>
      <c r="E9" s="23">
        <v>3</v>
      </c>
      <c r="F9" s="23">
        <v>1</v>
      </c>
      <c r="G9" s="24">
        <v>101588</v>
      </c>
      <c r="H9" s="25">
        <v>1241</v>
      </c>
      <c r="I9" s="26">
        <v>2571</v>
      </c>
      <c r="J9" s="27">
        <v>3081</v>
      </c>
      <c r="K9" s="28">
        <v>76</v>
      </c>
      <c r="L9" s="29">
        <v>6969</v>
      </c>
    </row>
    <row r="10" spans="1:12" ht="15" customHeight="1" x14ac:dyDescent="0.2">
      <c r="A10" s="22" t="s">
        <v>41</v>
      </c>
      <c r="B10" s="23" t="s">
        <v>42</v>
      </c>
      <c r="C10" s="35">
        <f>_xlfn.XLOOKUP('2016 Ihlamur'!A10,Veri_Skor!A:A,Veri_Skor!S:S,"-",0)</f>
        <v>23.571886218753303</v>
      </c>
      <c r="D10" s="23">
        <v>4.9000000000000004</v>
      </c>
      <c r="E10" s="23">
        <v>4</v>
      </c>
      <c r="F10" s="23">
        <v>1</v>
      </c>
      <c r="G10" s="24">
        <v>113921</v>
      </c>
      <c r="H10" s="25">
        <v>6857</v>
      </c>
      <c r="I10" s="26">
        <v>7457</v>
      </c>
      <c r="J10" s="27">
        <v>9545</v>
      </c>
      <c r="K10" s="28">
        <v>6121</v>
      </c>
      <c r="L10" s="29">
        <v>29980</v>
      </c>
    </row>
    <row r="11" spans="1:12" ht="15" customHeight="1" x14ac:dyDescent="0.2">
      <c r="A11" s="22" t="s">
        <v>43</v>
      </c>
      <c r="B11" s="23" t="s">
        <v>44</v>
      </c>
      <c r="C11" s="35">
        <f>_xlfn.XLOOKUP('2016 Ihlamur'!A11,Veri_Skor!A:A,Veri_Skor!S:S,"-",0)</f>
        <v>21.434512170415097</v>
      </c>
      <c r="D11" s="23">
        <v>4.9000000000000004</v>
      </c>
      <c r="E11" s="23">
        <v>4</v>
      </c>
      <c r="F11" s="23">
        <v>1</v>
      </c>
      <c r="G11" s="24">
        <v>96479</v>
      </c>
      <c r="H11" s="25">
        <v>2621</v>
      </c>
      <c r="I11" s="26">
        <v>4500</v>
      </c>
      <c r="J11" s="27">
        <v>6336</v>
      </c>
      <c r="K11" s="28">
        <v>11753</v>
      </c>
      <c r="L11" s="29">
        <v>25210</v>
      </c>
    </row>
    <row r="12" spans="1:12" ht="15" customHeight="1" x14ac:dyDescent="0.2">
      <c r="A12" s="22" t="s">
        <v>45</v>
      </c>
      <c r="B12" s="23" t="s">
        <v>46</v>
      </c>
      <c r="C12" s="35">
        <f>_xlfn.XLOOKUP('2016 Ihlamur'!A12,Veri_Skor!A:A,Veri_Skor!S:S,"-",0)</f>
        <v>19.831407368085646</v>
      </c>
      <c r="D12" s="23">
        <v>4.9000000000000004</v>
      </c>
      <c r="E12" s="23">
        <v>3</v>
      </c>
      <c r="F12" s="23">
        <v>1</v>
      </c>
      <c r="G12" s="24">
        <v>60856</v>
      </c>
      <c r="H12" s="25">
        <v>547</v>
      </c>
      <c r="I12" s="26">
        <v>3641</v>
      </c>
      <c r="J12" s="27">
        <v>2681</v>
      </c>
      <c r="K12" s="28">
        <v>1037</v>
      </c>
      <c r="L12" s="29">
        <v>7906</v>
      </c>
    </row>
    <row r="13" spans="1:12" ht="15" customHeight="1" x14ac:dyDescent="0.2">
      <c r="A13" s="22" t="s">
        <v>47</v>
      </c>
      <c r="B13" s="23" t="s">
        <v>48</v>
      </c>
      <c r="C13" s="35">
        <f>_xlfn.XLOOKUP('2016 Ihlamur'!A13,Veri_Skor!A:A,Veri_Skor!S:S,"-",0)</f>
        <v>18.159961541661573</v>
      </c>
      <c r="D13" s="23">
        <v>5.2</v>
      </c>
      <c r="E13" s="23">
        <v>4</v>
      </c>
      <c r="F13" s="23">
        <v>1</v>
      </c>
      <c r="G13" s="24">
        <v>49795</v>
      </c>
      <c r="H13" s="25">
        <v>8784</v>
      </c>
      <c r="I13" s="26">
        <v>1375</v>
      </c>
      <c r="J13" s="27">
        <v>1030</v>
      </c>
      <c r="K13" s="28">
        <v>3587</v>
      </c>
      <c r="L13" s="29">
        <v>14776</v>
      </c>
    </row>
    <row r="14" spans="1:12" ht="15" customHeight="1" x14ac:dyDescent="0.2">
      <c r="A14" s="22" t="s">
        <v>49</v>
      </c>
      <c r="B14" s="23" t="s">
        <v>50</v>
      </c>
      <c r="C14" s="35">
        <f>_xlfn.XLOOKUP('2016 Ihlamur'!A14,Veri_Skor!A:A,Veri_Skor!S:S,"-",0)</f>
        <v>17.44499613963799</v>
      </c>
      <c r="D14" s="23">
        <v>4.9000000000000004</v>
      </c>
      <c r="E14" s="23">
        <v>3</v>
      </c>
      <c r="F14" s="23">
        <v>1</v>
      </c>
      <c r="G14" s="24">
        <v>86848</v>
      </c>
      <c r="H14" s="25">
        <v>4927</v>
      </c>
      <c r="I14" s="26">
        <v>3781</v>
      </c>
      <c r="J14" s="27">
        <v>2135</v>
      </c>
      <c r="K14" s="28">
        <v>2475</v>
      </c>
      <c r="L14" s="29">
        <v>13318</v>
      </c>
    </row>
    <row r="15" spans="1:12" ht="15" customHeight="1" x14ac:dyDescent="0.2">
      <c r="A15" s="22" t="s">
        <v>51</v>
      </c>
      <c r="B15" s="23" t="s">
        <v>52</v>
      </c>
      <c r="C15" s="35">
        <f>_xlfn.XLOOKUP('2016 Ihlamur'!A15,Veri_Skor!A:A,Veri_Skor!S:S,"-",0)</f>
        <v>17.153468255847166</v>
      </c>
      <c r="D15" s="23">
        <v>6.8</v>
      </c>
      <c r="E15" s="23">
        <v>3</v>
      </c>
      <c r="F15" s="23">
        <v>1</v>
      </c>
      <c r="G15" s="24">
        <v>8951</v>
      </c>
      <c r="H15" s="25">
        <v>672</v>
      </c>
      <c r="I15" s="26">
        <v>282</v>
      </c>
      <c r="J15" s="27">
        <v>608</v>
      </c>
      <c r="K15" s="28">
        <v>130</v>
      </c>
      <c r="L15" s="29">
        <v>1692</v>
      </c>
    </row>
    <row r="16" spans="1:12" ht="15" customHeight="1" x14ac:dyDescent="0.2">
      <c r="A16" s="22" t="s">
        <v>53</v>
      </c>
      <c r="B16" s="23" t="s">
        <v>54</v>
      </c>
      <c r="C16" s="35">
        <f>_xlfn.XLOOKUP('2016 Ihlamur'!A16,Veri_Skor!A:A,Veri_Skor!S:S,"-",0)</f>
        <v>16.771428939122295</v>
      </c>
      <c r="D16" s="23">
        <v>5</v>
      </c>
      <c r="E16" s="23">
        <v>2</v>
      </c>
      <c r="F16" s="23">
        <v>1</v>
      </c>
      <c r="G16" s="24">
        <v>57947</v>
      </c>
      <c r="H16" s="25">
        <v>445</v>
      </c>
      <c r="I16" s="26">
        <v>1121</v>
      </c>
      <c r="J16" s="27">
        <v>2263</v>
      </c>
      <c r="K16" s="28">
        <v>5412</v>
      </c>
      <c r="L16" s="29">
        <v>9241</v>
      </c>
    </row>
    <row r="17" spans="1:12" ht="15" customHeight="1" x14ac:dyDescent="0.2">
      <c r="A17" s="22" t="s">
        <v>55</v>
      </c>
      <c r="B17" s="23" t="s">
        <v>56</v>
      </c>
      <c r="C17" s="35">
        <f>_xlfn.XLOOKUP('2016 Ihlamur'!A17,Veri_Skor!A:A,Veri_Skor!S:S,"-",0)</f>
        <v>16.011136056471845</v>
      </c>
      <c r="D17" s="23">
        <v>4.8</v>
      </c>
      <c r="E17" s="23">
        <v>3</v>
      </c>
      <c r="F17" s="23">
        <v>1</v>
      </c>
      <c r="G17" s="24">
        <v>74810</v>
      </c>
      <c r="H17" s="25">
        <v>1685</v>
      </c>
      <c r="I17" s="26">
        <v>3939</v>
      </c>
      <c r="J17" s="27">
        <v>5583</v>
      </c>
      <c r="K17" s="28">
        <v>2174</v>
      </c>
      <c r="L17" s="29">
        <v>13381</v>
      </c>
    </row>
    <row r="18" spans="1:12" ht="15" customHeight="1" x14ac:dyDescent="0.2">
      <c r="A18" s="22" t="s">
        <v>57</v>
      </c>
      <c r="B18" s="23" t="s">
        <v>58</v>
      </c>
      <c r="C18" s="35">
        <f>_xlfn.XLOOKUP('2016 Ihlamur'!A18,Veri_Skor!A:A,Veri_Skor!S:S,"-",0)</f>
        <v>15.847042192667082</v>
      </c>
      <c r="D18" s="23">
        <v>6.4</v>
      </c>
      <c r="E18" s="23">
        <v>4</v>
      </c>
      <c r="F18" s="23">
        <v>1</v>
      </c>
      <c r="G18" s="24">
        <v>42696</v>
      </c>
      <c r="H18" s="25">
        <v>3276</v>
      </c>
      <c r="I18" s="26">
        <v>2657</v>
      </c>
      <c r="J18" s="27">
        <v>2848</v>
      </c>
      <c r="K18" s="28">
        <v>2042</v>
      </c>
      <c r="L18" s="29">
        <v>10823</v>
      </c>
    </row>
    <row r="19" spans="1:12" ht="15" customHeight="1" x14ac:dyDescent="0.2">
      <c r="A19" s="22" t="s">
        <v>59</v>
      </c>
      <c r="B19" s="23" t="s">
        <v>60</v>
      </c>
      <c r="C19" s="35">
        <f>_xlfn.XLOOKUP('2016 Ihlamur'!A19,Veri_Skor!A:A,Veri_Skor!S:S,"-",0)</f>
        <v>15.124161411160783</v>
      </c>
      <c r="D19" s="23">
        <v>5.0999999999999996</v>
      </c>
      <c r="E19" s="23">
        <v>2</v>
      </c>
      <c r="F19" s="23">
        <v>1</v>
      </c>
      <c r="G19" s="24">
        <v>74800</v>
      </c>
      <c r="H19" s="25">
        <v>10130</v>
      </c>
      <c r="I19" s="26">
        <v>1797</v>
      </c>
      <c r="J19" s="27">
        <v>8030</v>
      </c>
      <c r="K19" s="28">
        <v>1076</v>
      </c>
      <c r="L19" s="29">
        <v>21033</v>
      </c>
    </row>
    <row r="20" spans="1:12" ht="15" customHeight="1" x14ac:dyDescent="0.2">
      <c r="A20" s="22" t="s">
        <v>61</v>
      </c>
      <c r="B20" s="23" t="s">
        <v>62</v>
      </c>
      <c r="C20" s="35">
        <f>_xlfn.XLOOKUP('2016 Ihlamur'!A20,Veri_Skor!A:A,Veri_Skor!S:S,"-",0)</f>
        <v>14.430151165866954</v>
      </c>
      <c r="D20" s="23">
        <v>6</v>
      </c>
      <c r="E20" s="23">
        <v>2</v>
      </c>
      <c r="F20" s="23">
        <v>1</v>
      </c>
      <c r="G20" s="24">
        <v>14464</v>
      </c>
      <c r="H20" s="25">
        <v>1014</v>
      </c>
      <c r="I20" s="26">
        <v>548</v>
      </c>
      <c r="J20" s="27">
        <v>777</v>
      </c>
      <c r="K20" s="28">
        <v>2717</v>
      </c>
      <c r="L20" s="29">
        <v>5056</v>
      </c>
    </row>
    <row r="21" spans="1:12" ht="15" customHeight="1" x14ac:dyDescent="0.2">
      <c r="A21" s="22" t="s">
        <v>63</v>
      </c>
      <c r="B21" s="23" t="s">
        <v>64</v>
      </c>
      <c r="C21" s="35">
        <f>_xlfn.XLOOKUP('2016 Ihlamur'!A21,Veri_Skor!A:A,Veri_Skor!S:S,"-",0)</f>
        <v>13.629363701537004</v>
      </c>
      <c r="D21" s="23">
        <v>10</v>
      </c>
      <c r="E21" s="23">
        <v>3</v>
      </c>
      <c r="F21" s="23">
        <v>1</v>
      </c>
      <c r="G21" s="24">
        <v>25100</v>
      </c>
      <c r="H21" s="25">
        <v>1964</v>
      </c>
      <c r="I21" s="26">
        <v>1067</v>
      </c>
      <c r="J21" s="27">
        <v>1616</v>
      </c>
      <c r="K21" s="28">
        <v>1850</v>
      </c>
      <c r="L21" s="29">
        <v>6497</v>
      </c>
    </row>
    <row r="22" spans="1:12" ht="15" customHeight="1" x14ac:dyDescent="0.2">
      <c r="A22" s="22" t="s">
        <v>65</v>
      </c>
      <c r="B22" s="23" t="s">
        <v>66</v>
      </c>
      <c r="C22" s="35">
        <f>_xlfn.XLOOKUP('2016 Ihlamur'!A22,Veri_Skor!A:A,Veri_Skor!S:S,"-",0)</f>
        <v>12.828780538851309</v>
      </c>
      <c r="D22" s="23">
        <v>4.5</v>
      </c>
      <c r="E22" s="23">
        <v>3</v>
      </c>
      <c r="F22" s="23">
        <v>1</v>
      </c>
      <c r="G22" s="24">
        <v>32335</v>
      </c>
      <c r="H22" s="25">
        <v>2666</v>
      </c>
      <c r="I22" s="26">
        <v>1345</v>
      </c>
      <c r="J22" s="27">
        <v>704</v>
      </c>
      <c r="K22" s="28">
        <v>1927</v>
      </c>
      <c r="L22" s="29">
        <v>6642</v>
      </c>
    </row>
    <row r="23" spans="1:12" ht="15" customHeight="1" x14ac:dyDescent="0.2">
      <c r="A23" s="22" t="s">
        <v>67</v>
      </c>
      <c r="B23" s="23" t="s">
        <v>68</v>
      </c>
      <c r="C23" s="35">
        <f>_xlfn.XLOOKUP('2016 Ihlamur'!A23,Veri_Skor!A:A,Veri_Skor!S:S,"-",0)</f>
        <v>11.985917236404189</v>
      </c>
      <c r="D23" s="23">
        <v>4.9000000000000004</v>
      </c>
      <c r="E23" s="23">
        <v>3</v>
      </c>
      <c r="F23" s="23">
        <v>1</v>
      </c>
      <c r="G23" s="24">
        <v>42698</v>
      </c>
      <c r="H23" s="25">
        <v>1212</v>
      </c>
      <c r="I23" s="26">
        <v>3693</v>
      </c>
      <c r="J23" s="27">
        <v>751</v>
      </c>
      <c r="K23" s="28">
        <v>1567</v>
      </c>
      <c r="L23" s="29">
        <v>7223</v>
      </c>
    </row>
    <row r="24" spans="1:12" ht="15" customHeight="1" x14ac:dyDescent="0.2">
      <c r="A24" s="22" t="s">
        <v>69</v>
      </c>
      <c r="B24" s="23" t="s">
        <v>70</v>
      </c>
      <c r="C24" s="35">
        <f>_xlfn.XLOOKUP('2016 Ihlamur'!A24,Veri_Skor!A:A,Veri_Skor!S:S,"-",0)</f>
        <v>12.17559737929205</v>
      </c>
      <c r="D24" s="23">
        <v>4.9000000000000004</v>
      </c>
      <c r="E24" s="23">
        <v>2</v>
      </c>
      <c r="F24" s="23">
        <v>1</v>
      </c>
      <c r="G24" s="24">
        <v>33366</v>
      </c>
      <c r="H24" s="25">
        <v>3055</v>
      </c>
      <c r="I24" s="26">
        <v>1775</v>
      </c>
      <c r="J24" s="27">
        <v>1960</v>
      </c>
      <c r="K24" s="28">
        <v>3524</v>
      </c>
      <c r="L24" s="29">
        <v>10314</v>
      </c>
    </row>
    <row r="25" spans="1:12" ht="15" customHeight="1" x14ac:dyDescent="0.2">
      <c r="A25" s="22" t="s">
        <v>71</v>
      </c>
      <c r="B25" s="23" t="s">
        <v>72</v>
      </c>
      <c r="C25" s="35">
        <f>_xlfn.XLOOKUP('2016 Ihlamur'!A25,Veri_Skor!A:A,Veri_Skor!S:S,"-",0)</f>
        <v>11.964978094647163</v>
      </c>
      <c r="D25" s="23">
        <v>6</v>
      </c>
      <c r="E25" s="23">
        <v>3</v>
      </c>
      <c r="F25" s="23">
        <v>1</v>
      </c>
      <c r="G25" s="24">
        <v>35889</v>
      </c>
      <c r="H25" s="25">
        <v>847</v>
      </c>
      <c r="I25" s="26">
        <v>3387</v>
      </c>
      <c r="J25" s="27">
        <v>1430</v>
      </c>
      <c r="K25" s="28">
        <v>844</v>
      </c>
      <c r="L25" s="29">
        <v>6508</v>
      </c>
    </row>
    <row r="26" spans="1:12" ht="15" customHeight="1" x14ac:dyDescent="0.2">
      <c r="A26" s="22" t="s">
        <v>73</v>
      </c>
      <c r="B26" s="23" t="s">
        <v>74</v>
      </c>
      <c r="C26" s="35">
        <f>_xlfn.XLOOKUP('2016 Ihlamur'!A26,Veri_Skor!A:A,Veri_Skor!S:S,"-",0)</f>
        <v>11.670355814777553</v>
      </c>
      <c r="D26" s="23">
        <v>4.8</v>
      </c>
      <c r="E26" s="23">
        <v>3</v>
      </c>
      <c r="F26" s="23">
        <v>1</v>
      </c>
      <c r="G26" s="24">
        <v>55699</v>
      </c>
      <c r="H26" s="25">
        <v>748</v>
      </c>
      <c r="I26" s="26">
        <v>1894</v>
      </c>
      <c r="J26" s="27">
        <v>1651</v>
      </c>
      <c r="K26" s="28">
        <v>2342</v>
      </c>
      <c r="L26" s="29">
        <v>6635</v>
      </c>
    </row>
    <row r="27" spans="1:12" ht="15" customHeight="1" x14ac:dyDescent="0.2">
      <c r="A27" s="22" t="s">
        <v>75</v>
      </c>
      <c r="B27" s="23" t="s">
        <v>76</v>
      </c>
      <c r="C27" s="35">
        <f>_xlfn.XLOOKUP('2016 Ihlamur'!A27,Veri_Skor!A:A,Veri_Skor!S:S,"-",0)</f>
        <v>11.284839099777276</v>
      </c>
      <c r="D27" s="23">
        <v>5.6</v>
      </c>
      <c r="E27" s="23">
        <v>3</v>
      </c>
      <c r="F27" s="23">
        <v>1</v>
      </c>
      <c r="G27" s="24">
        <v>11100</v>
      </c>
      <c r="H27" s="25">
        <v>955</v>
      </c>
      <c r="I27" s="26">
        <v>910</v>
      </c>
      <c r="J27" s="27">
        <v>576</v>
      </c>
      <c r="K27" s="28">
        <v>505</v>
      </c>
      <c r="L27" s="29">
        <v>2946</v>
      </c>
    </row>
    <row r="28" spans="1:12" ht="15" customHeight="1" x14ac:dyDescent="0.2">
      <c r="A28" s="22" t="s">
        <v>77</v>
      </c>
      <c r="B28" s="23" t="s">
        <v>78</v>
      </c>
      <c r="C28" s="35">
        <f>_xlfn.XLOOKUP('2016 Ihlamur'!A28,Veri_Skor!A:A,Veri_Skor!S:S,"-",0)</f>
        <v>11.113110645964857</v>
      </c>
      <c r="D28" s="23">
        <v>5.2</v>
      </c>
      <c r="E28" s="23">
        <v>3</v>
      </c>
      <c r="F28" s="23">
        <v>1</v>
      </c>
      <c r="G28" s="24">
        <v>27498</v>
      </c>
      <c r="H28" s="25">
        <v>662</v>
      </c>
      <c r="I28" s="26">
        <v>1029</v>
      </c>
      <c r="J28" s="27">
        <v>644</v>
      </c>
      <c r="K28" s="28">
        <v>1136</v>
      </c>
      <c r="L28" s="29">
        <v>3471</v>
      </c>
    </row>
    <row r="29" spans="1:12" ht="15" customHeight="1" x14ac:dyDescent="0.2">
      <c r="A29" s="22" t="s">
        <v>79</v>
      </c>
      <c r="B29" s="23" t="s">
        <v>80</v>
      </c>
      <c r="C29" s="35">
        <f>_xlfn.XLOOKUP('2016 Ihlamur'!A29,Veri_Skor!A:A,Veri_Skor!S:S,"-",0)</f>
        <v>10.722115706095847</v>
      </c>
      <c r="D29" s="23">
        <v>4.9000000000000004</v>
      </c>
      <c r="E29" s="23">
        <v>3</v>
      </c>
      <c r="F29" s="23">
        <v>1</v>
      </c>
      <c r="G29" s="24">
        <v>33269</v>
      </c>
      <c r="H29" s="25">
        <v>1013</v>
      </c>
      <c r="I29" s="26">
        <v>2571</v>
      </c>
      <c r="J29" s="27">
        <v>1097</v>
      </c>
      <c r="K29" s="28">
        <v>1234</v>
      </c>
      <c r="L29" s="29">
        <v>5915</v>
      </c>
    </row>
    <row r="30" spans="1:12" ht="15" customHeight="1" x14ac:dyDescent="0.2">
      <c r="A30" s="22" t="s">
        <v>81</v>
      </c>
      <c r="B30" s="23" t="s">
        <v>82</v>
      </c>
      <c r="C30" s="35">
        <f>_xlfn.XLOOKUP('2016 Ihlamur'!A30,Veri_Skor!A:A,Veri_Skor!S:S,"-",0)</f>
        <v>10.578448231594102</v>
      </c>
      <c r="D30" s="23">
        <v>4.9000000000000004</v>
      </c>
      <c r="E30" s="23">
        <v>3</v>
      </c>
      <c r="F30" s="23">
        <v>1</v>
      </c>
      <c r="G30" s="24">
        <v>31527</v>
      </c>
      <c r="H30" s="25">
        <v>1708</v>
      </c>
      <c r="I30" s="26">
        <v>2098</v>
      </c>
      <c r="J30" s="27">
        <v>757</v>
      </c>
      <c r="K30" s="28">
        <v>604</v>
      </c>
      <c r="L30" s="29">
        <v>5167</v>
      </c>
    </row>
    <row r="31" spans="1:12" ht="15" customHeight="1" x14ac:dyDescent="0.2">
      <c r="A31" s="22" t="s">
        <v>83</v>
      </c>
      <c r="B31" s="23" t="s">
        <v>84</v>
      </c>
      <c r="C31" s="35">
        <f>_xlfn.XLOOKUP('2016 Ihlamur'!A31,Veri_Skor!A:A,Veri_Skor!S:S,"-",0)</f>
        <v>10.42939223711474</v>
      </c>
      <c r="D31" s="23">
        <v>6</v>
      </c>
      <c r="E31" s="23">
        <v>4</v>
      </c>
      <c r="F31" s="23">
        <v>1</v>
      </c>
      <c r="G31" s="24">
        <v>30051</v>
      </c>
      <c r="H31" s="25">
        <v>1636</v>
      </c>
      <c r="I31" s="26">
        <v>2785</v>
      </c>
      <c r="J31" s="27">
        <v>805</v>
      </c>
      <c r="K31" s="28">
        <v>586</v>
      </c>
      <c r="L31" s="29">
        <v>5812</v>
      </c>
    </row>
    <row r="32" spans="1:12" ht="15" customHeight="1" x14ac:dyDescent="0.2">
      <c r="A32" s="22" t="s">
        <v>85</v>
      </c>
      <c r="B32" s="23" t="s">
        <v>86</v>
      </c>
      <c r="C32" s="35">
        <f>_xlfn.XLOOKUP('2016 Ihlamur'!A32,Veri_Skor!A:A,Veri_Skor!S:S,"-",0)</f>
        <v>10.248428458555908</v>
      </c>
      <c r="D32" s="23">
        <v>4.5</v>
      </c>
      <c r="E32" s="23">
        <v>4</v>
      </c>
      <c r="F32" s="23">
        <v>1</v>
      </c>
      <c r="G32" s="24">
        <v>33637</v>
      </c>
      <c r="H32" s="25">
        <v>5415</v>
      </c>
      <c r="I32" s="26">
        <v>1876</v>
      </c>
      <c r="J32" s="27">
        <v>1224</v>
      </c>
      <c r="K32" s="28">
        <v>774</v>
      </c>
      <c r="L32" s="29">
        <v>9289</v>
      </c>
    </row>
    <row r="33" spans="1:12" ht="15" customHeight="1" x14ac:dyDescent="0.2">
      <c r="A33" s="22" t="s">
        <v>87</v>
      </c>
      <c r="B33" s="23" t="s">
        <v>88</v>
      </c>
      <c r="C33" s="35">
        <f>_xlfn.XLOOKUP('2016 Ihlamur'!A33,Veri_Skor!A:A,Veri_Skor!S:S,"-",0)</f>
        <v>9.4196319321024315</v>
      </c>
      <c r="D33" s="23">
        <v>5.2</v>
      </c>
      <c r="E33" s="23">
        <v>3</v>
      </c>
      <c r="F33" s="23">
        <v>1</v>
      </c>
      <c r="G33" s="24">
        <v>28679</v>
      </c>
      <c r="H33" s="25">
        <v>643</v>
      </c>
      <c r="I33" s="26">
        <v>2133</v>
      </c>
      <c r="J33" s="27">
        <v>1318</v>
      </c>
      <c r="K33" s="28">
        <v>1648</v>
      </c>
      <c r="L33" s="29">
        <v>5742</v>
      </c>
    </row>
    <row r="34" spans="1:12" ht="15" customHeight="1" x14ac:dyDescent="0.2">
      <c r="A34" s="22" t="s">
        <v>89</v>
      </c>
      <c r="B34" s="23" t="s">
        <v>90</v>
      </c>
      <c r="C34" s="35">
        <f>_xlfn.XLOOKUP('2016 Ihlamur'!A34,Veri_Skor!A:A,Veri_Skor!S:S,"-",0)</f>
        <v>9.6193638390195684</v>
      </c>
      <c r="D34" s="23">
        <v>9</v>
      </c>
      <c r="E34" s="23">
        <v>2</v>
      </c>
      <c r="F34" s="23">
        <v>1</v>
      </c>
      <c r="G34" s="24">
        <v>6807</v>
      </c>
      <c r="H34" s="25">
        <v>198</v>
      </c>
      <c r="I34" s="26">
        <v>160</v>
      </c>
      <c r="J34" s="27">
        <v>342</v>
      </c>
      <c r="K34" s="28">
        <v>949</v>
      </c>
      <c r="L34" s="29">
        <v>1649</v>
      </c>
    </row>
    <row r="35" spans="1:12" ht="15" customHeight="1" x14ac:dyDescent="0.2">
      <c r="A35" s="22" t="s">
        <v>91</v>
      </c>
      <c r="B35" s="23" t="s">
        <v>92</v>
      </c>
      <c r="C35" s="35">
        <f>_xlfn.XLOOKUP('2016 Ihlamur'!A35,Veri_Skor!A:A,Veri_Skor!S:S,"-",0)</f>
        <v>9.105576712448471</v>
      </c>
      <c r="D35" s="23">
        <v>4.8</v>
      </c>
      <c r="E35" s="23">
        <v>3</v>
      </c>
      <c r="F35" s="23">
        <v>1</v>
      </c>
      <c r="G35" s="24">
        <v>57850</v>
      </c>
      <c r="H35" s="25">
        <v>1885</v>
      </c>
      <c r="I35" s="26">
        <v>4841</v>
      </c>
      <c r="J35" s="27">
        <v>6500</v>
      </c>
      <c r="K35" s="28">
        <v>3868</v>
      </c>
      <c r="L35" s="29">
        <v>17094</v>
      </c>
    </row>
    <row r="36" spans="1:12" ht="15" customHeight="1" x14ac:dyDescent="0.2">
      <c r="A36" s="22" t="s">
        <v>93</v>
      </c>
      <c r="B36" s="23" t="s">
        <v>94</v>
      </c>
      <c r="C36" s="35">
        <f>_xlfn.XLOOKUP('2016 Ihlamur'!A36,Veri_Skor!A:A,Veri_Skor!S:S,"-",0)</f>
        <v>8.8627220919498466</v>
      </c>
      <c r="D36" s="23">
        <v>4.5</v>
      </c>
      <c r="E36" s="23">
        <v>3</v>
      </c>
      <c r="F36" s="23">
        <v>1</v>
      </c>
      <c r="G36" s="24">
        <v>27295</v>
      </c>
      <c r="H36" s="25">
        <v>2094</v>
      </c>
      <c r="I36" s="26">
        <v>1532</v>
      </c>
      <c r="J36" s="27">
        <v>704</v>
      </c>
      <c r="K36" s="28">
        <v>1465</v>
      </c>
      <c r="L36" s="29">
        <v>5795</v>
      </c>
    </row>
    <row r="37" spans="1:12" ht="15" customHeight="1" x14ac:dyDescent="0.2">
      <c r="A37" s="22" t="s">
        <v>95</v>
      </c>
      <c r="B37" s="23" t="s">
        <v>96</v>
      </c>
      <c r="C37" s="35">
        <f>_xlfn.XLOOKUP('2016 Ihlamur'!A37,Veri_Skor!A:A,Veri_Skor!S:S,"-",0)</f>
        <v>8.8438896571180905</v>
      </c>
      <c r="D37" s="23">
        <v>9</v>
      </c>
      <c r="E37" s="23">
        <v>3</v>
      </c>
      <c r="F37" s="23">
        <v>1</v>
      </c>
      <c r="G37" s="24">
        <v>5939</v>
      </c>
      <c r="H37" s="25">
        <v>201</v>
      </c>
      <c r="I37" s="26">
        <v>347</v>
      </c>
      <c r="J37" s="27">
        <v>518</v>
      </c>
      <c r="K37" s="28">
        <v>596</v>
      </c>
      <c r="L37" s="29">
        <v>1662</v>
      </c>
    </row>
    <row r="38" spans="1:12" ht="15" customHeight="1" x14ac:dyDescent="0.2">
      <c r="A38" s="22" t="s">
        <v>97</v>
      </c>
      <c r="B38" s="23" t="s">
        <v>98</v>
      </c>
      <c r="C38" s="35">
        <f>_xlfn.XLOOKUP('2016 Ihlamur'!A38,Veri_Skor!A:A,Veri_Skor!S:S,"-",0)</f>
        <v>8.6340355264416182</v>
      </c>
      <c r="D38" s="23">
        <v>10</v>
      </c>
      <c r="E38" s="23">
        <v>2</v>
      </c>
      <c r="F38" s="23">
        <v>1</v>
      </c>
      <c r="G38" s="24">
        <v>5006</v>
      </c>
      <c r="H38" s="25">
        <v>325</v>
      </c>
      <c r="I38" s="26">
        <v>155</v>
      </c>
      <c r="J38" s="27">
        <v>145</v>
      </c>
      <c r="K38" s="28">
        <v>143</v>
      </c>
      <c r="L38" s="29">
        <v>768</v>
      </c>
    </row>
    <row r="39" spans="1:12" ht="15" customHeight="1" x14ac:dyDescent="0.2">
      <c r="A39" s="22" t="s">
        <v>99</v>
      </c>
      <c r="B39" s="23" t="s">
        <v>100</v>
      </c>
      <c r="C39" s="35">
        <f>_xlfn.XLOOKUP('2016 Ihlamur'!A39,Veri_Skor!A:A,Veri_Skor!S:S,"-",0)</f>
        <v>8.0313033356285413</v>
      </c>
      <c r="D39" s="23">
        <v>4.9000000000000004</v>
      </c>
      <c r="E39" s="23">
        <v>3</v>
      </c>
      <c r="F39" s="23">
        <v>1</v>
      </c>
      <c r="G39" s="24">
        <v>16645</v>
      </c>
      <c r="H39" s="25">
        <v>875</v>
      </c>
      <c r="I39" s="26">
        <v>752</v>
      </c>
      <c r="J39" s="27">
        <v>1509</v>
      </c>
      <c r="K39" s="28">
        <v>469</v>
      </c>
      <c r="L39" s="29">
        <v>3605</v>
      </c>
    </row>
    <row r="40" spans="1:12" ht="15" customHeight="1" x14ac:dyDescent="0.2">
      <c r="A40" s="22" t="s">
        <v>101</v>
      </c>
      <c r="B40" s="23" t="s">
        <v>102</v>
      </c>
      <c r="C40" s="35">
        <f>_xlfn.XLOOKUP('2016 Ihlamur'!A40,Veri_Skor!A:A,Veri_Skor!S:S,"-",0)</f>
        <v>7.7081785481921967</v>
      </c>
      <c r="D40" s="23">
        <v>4.7</v>
      </c>
      <c r="E40" s="23">
        <v>2</v>
      </c>
      <c r="F40" s="23">
        <v>1</v>
      </c>
      <c r="G40" s="24">
        <v>25569</v>
      </c>
      <c r="H40" s="25">
        <v>720</v>
      </c>
      <c r="I40" s="26">
        <v>1770</v>
      </c>
      <c r="J40" s="27">
        <v>1401</v>
      </c>
      <c r="K40" s="28">
        <v>2952</v>
      </c>
      <c r="L40" s="29">
        <v>6843</v>
      </c>
    </row>
    <row r="41" spans="1:12" ht="15" customHeight="1" x14ac:dyDescent="0.2">
      <c r="A41" s="22" t="s">
        <v>103</v>
      </c>
      <c r="B41" s="23" t="s">
        <v>104</v>
      </c>
      <c r="C41" s="35">
        <f>_xlfn.XLOOKUP('2016 Ihlamur'!A41,Veri_Skor!A:A,Veri_Skor!S:S,"-",0)</f>
        <v>7.5479083675198746</v>
      </c>
      <c r="D41" s="23">
        <v>10.4</v>
      </c>
      <c r="E41" s="23">
        <v>3</v>
      </c>
      <c r="F41" s="23">
        <v>1</v>
      </c>
      <c r="G41" s="24">
        <v>6354</v>
      </c>
      <c r="H41" s="25">
        <v>582</v>
      </c>
      <c r="I41" s="26">
        <v>358</v>
      </c>
      <c r="J41" s="27">
        <v>257</v>
      </c>
      <c r="K41" s="28">
        <v>494</v>
      </c>
      <c r="L41" s="29">
        <v>1691</v>
      </c>
    </row>
    <row r="42" spans="1:12" ht="15" customHeight="1" x14ac:dyDescent="0.2">
      <c r="A42" s="22" t="s">
        <v>105</v>
      </c>
      <c r="B42" s="23" t="s">
        <v>106</v>
      </c>
      <c r="C42" s="35">
        <f>_xlfn.XLOOKUP('2016 Ihlamur'!A42,Veri_Skor!A:A,Veri_Skor!S:S,"-",0)</f>
        <v>7.2162257106573238</v>
      </c>
      <c r="D42" s="23">
        <v>4.9000000000000004</v>
      </c>
      <c r="E42" s="23">
        <v>3</v>
      </c>
      <c r="F42" s="23">
        <v>1</v>
      </c>
      <c r="G42" s="24">
        <v>6183</v>
      </c>
      <c r="H42" s="25">
        <v>425</v>
      </c>
      <c r="I42" s="26">
        <v>353</v>
      </c>
      <c r="J42" s="27">
        <v>207</v>
      </c>
      <c r="K42" s="28">
        <v>204</v>
      </c>
      <c r="L42" s="29">
        <v>1189</v>
      </c>
    </row>
    <row r="43" spans="1:12" ht="15" customHeight="1" x14ac:dyDescent="0.2">
      <c r="A43" s="22" t="s">
        <v>107</v>
      </c>
      <c r="B43" s="23" t="s">
        <v>108</v>
      </c>
      <c r="C43" s="35">
        <f>_xlfn.XLOOKUP('2016 Ihlamur'!A43,Veri_Skor!A:A,Veri_Skor!S:S,"-",0)</f>
        <v>6.9159633593404113</v>
      </c>
      <c r="D43" s="23">
        <v>5</v>
      </c>
      <c r="E43" s="23">
        <v>3</v>
      </c>
      <c r="F43" s="23">
        <v>1</v>
      </c>
      <c r="G43" s="24">
        <v>29113</v>
      </c>
      <c r="H43" s="25">
        <v>3029</v>
      </c>
      <c r="I43" s="26">
        <v>758</v>
      </c>
      <c r="J43" s="27">
        <v>483</v>
      </c>
      <c r="K43" s="28">
        <v>942</v>
      </c>
      <c r="L43" s="29">
        <v>5212</v>
      </c>
    </row>
    <row r="44" spans="1:12" ht="15" customHeight="1" x14ac:dyDescent="0.2">
      <c r="A44" s="22" t="s">
        <v>109</v>
      </c>
      <c r="B44" s="23" t="s">
        <v>110</v>
      </c>
      <c r="C44" s="35">
        <f>_xlfn.XLOOKUP('2016 Ihlamur'!A44,Veri_Skor!A:A,Veri_Skor!S:S,"-",0)</f>
        <v>7.3464368231672044</v>
      </c>
      <c r="D44" s="23">
        <v>9</v>
      </c>
      <c r="E44" s="23">
        <v>3</v>
      </c>
      <c r="F44" s="23">
        <v>1</v>
      </c>
      <c r="G44" s="24">
        <v>3018</v>
      </c>
      <c r="H44" s="25">
        <v>36</v>
      </c>
      <c r="I44" s="26">
        <v>129</v>
      </c>
      <c r="J44" s="27">
        <v>192</v>
      </c>
      <c r="K44" s="28">
        <v>221</v>
      </c>
      <c r="L44" s="29">
        <v>578</v>
      </c>
    </row>
    <row r="45" spans="1:12" ht="15" customHeight="1" x14ac:dyDescent="0.2">
      <c r="A45" s="22" t="s">
        <v>111</v>
      </c>
      <c r="B45" s="23" t="s">
        <v>112</v>
      </c>
      <c r="C45" s="35">
        <f>_xlfn.XLOOKUP('2016 Ihlamur'!A45,Veri_Skor!A:A,Veri_Skor!S:S,"-",0)</f>
        <v>6.9404078524080699</v>
      </c>
      <c r="D45" s="23">
        <v>5.2</v>
      </c>
      <c r="E45" s="23">
        <v>3</v>
      </c>
      <c r="F45" s="23">
        <v>1</v>
      </c>
      <c r="G45" s="24">
        <v>18300</v>
      </c>
      <c r="H45" s="25">
        <v>594</v>
      </c>
      <c r="I45" s="26">
        <v>967</v>
      </c>
      <c r="J45" s="27">
        <v>1584</v>
      </c>
      <c r="K45" s="28">
        <v>1697</v>
      </c>
      <c r="L45" s="29">
        <v>4842</v>
      </c>
    </row>
    <row r="46" spans="1:12" ht="15" customHeight="1" x14ac:dyDescent="0.2">
      <c r="A46" s="22" t="s">
        <v>113</v>
      </c>
      <c r="B46" s="23" t="s">
        <v>114</v>
      </c>
      <c r="C46" s="35">
        <f>_xlfn.XLOOKUP('2016 Ihlamur'!A46,Veri_Skor!A:A,Veri_Skor!S:S,"-",0)</f>
        <v>6.7300594231203403</v>
      </c>
      <c r="D46" s="23">
        <v>8</v>
      </c>
      <c r="E46" s="23">
        <v>2</v>
      </c>
      <c r="F46" s="23">
        <v>1</v>
      </c>
      <c r="G46" s="24">
        <v>5124</v>
      </c>
      <c r="H46" s="25">
        <v>338</v>
      </c>
      <c r="I46" s="26">
        <v>312</v>
      </c>
      <c r="J46" s="27">
        <v>137</v>
      </c>
      <c r="K46" s="28">
        <v>155</v>
      </c>
      <c r="L46" s="29">
        <v>942</v>
      </c>
    </row>
    <row r="47" spans="1:12" ht="15" customHeight="1" x14ac:dyDescent="0.2">
      <c r="A47" s="22" t="s">
        <v>115</v>
      </c>
      <c r="B47" s="23" t="s">
        <v>116</v>
      </c>
      <c r="C47" s="35">
        <f>_xlfn.XLOOKUP('2016 Ihlamur'!A47,Veri_Skor!A:A,Veri_Skor!S:S,"-",0)</f>
        <v>6.6747398414404815</v>
      </c>
      <c r="D47" s="23">
        <v>10</v>
      </c>
      <c r="E47" s="23">
        <v>2</v>
      </c>
      <c r="F47" s="23">
        <v>1</v>
      </c>
      <c r="G47" s="24">
        <v>6388</v>
      </c>
      <c r="H47" s="25">
        <v>93</v>
      </c>
      <c r="I47" s="26">
        <v>110</v>
      </c>
      <c r="J47" s="27">
        <v>120</v>
      </c>
      <c r="K47" s="28">
        <v>72</v>
      </c>
      <c r="L47" s="29">
        <v>395</v>
      </c>
    </row>
    <row r="48" spans="1:12" ht="15" customHeight="1" x14ac:dyDescent="0.2">
      <c r="A48" s="22" t="s">
        <v>117</v>
      </c>
      <c r="B48" s="23" t="s">
        <v>118</v>
      </c>
      <c r="C48" s="35">
        <f>_xlfn.XLOOKUP('2016 Ihlamur'!A48,Veri_Skor!A:A,Veri_Skor!S:S,"-",0)</f>
        <v>6.3142755171583334</v>
      </c>
      <c r="D48" s="23">
        <v>5</v>
      </c>
      <c r="E48" s="23">
        <v>3</v>
      </c>
      <c r="F48" s="23">
        <v>1</v>
      </c>
      <c r="G48" s="24">
        <v>16301</v>
      </c>
      <c r="H48" s="25">
        <v>1064</v>
      </c>
      <c r="I48" s="26">
        <v>1367</v>
      </c>
      <c r="J48" s="27">
        <v>1585</v>
      </c>
      <c r="K48" s="28">
        <v>283</v>
      </c>
      <c r="L48" s="29">
        <v>4299</v>
      </c>
    </row>
    <row r="49" spans="1:12" ht="15" customHeight="1" x14ac:dyDescent="0.2">
      <c r="A49" s="22" t="s">
        <v>119</v>
      </c>
      <c r="B49" s="23" t="s">
        <v>120</v>
      </c>
      <c r="C49" s="35">
        <f>_xlfn.XLOOKUP('2016 Ihlamur'!A49,Veri_Skor!A:A,Veri_Skor!S:S,"-",0)</f>
        <v>6.5090778950388994</v>
      </c>
      <c r="D49" s="23">
        <v>9.1999999999999993</v>
      </c>
      <c r="E49" s="23">
        <v>3</v>
      </c>
      <c r="F49" s="23">
        <v>1</v>
      </c>
      <c r="G49" s="24">
        <v>3869</v>
      </c>
      <c r="H49" s="25">
        <v>94</v>
      </c>
      <c r="I49" s="26">
        <v>64</v>
      </c>
      <c r="J49" s="27">
        <v>98</v>
      </c>
      <c r="K49" s="28">
        <v>200</v>
      </c>
      <c r="L49" s="29">
        <v>456</v>
      </c>
    </row>
    <row r="50" spans="1:12" ht="15" customHeight="1" x14ac:dyDescent="0.2">
      <c r="A50" s="22" t="s">
        <v>121</v>
      </c>
      <c r="B50" s="23" t="s">
        <v>122</v>
      </c>
      <c r="C50" s="35">
        <f>_xlfn.XLOOKUP('2016 Ihlamur'!A50,Veri_Skor!A:A,Veri_Skor!S:S,"-",0)</f>
        <v>5.8718672299201309</v>
      </c>
      <c r="D50" s="23">
        <v>4.9000000000000004</v>
      </c>
      <c r="E50" s="23">
        <v>2</v>
      </c>
      <c r="F50" s="23">
        <v>1</v>
      </c>
      <c r="G50" s="24">
        <v>28518</v>
      </c>
      <c r="H50" s="25">
        <v>2516</v>
      </c>
      <c r="I50" s="26">
        <v>1094</v>
      </c>
      <c r="J50" s="27">
        <v>875</v>
      </c>
      <c r="K50" s="28">
        <v>4800</v>
      </c>
      <c r="L50" s="29">
        <v>9285</v>
      </c>
    </row>
    <row r="51" spans="1:12" ht="15" customHeight="1" x14ac:dyDescent="0.2">
      <c r="A51" s="22" t="s">
        <v>123</v>
      </c>
      <c r="B51" s="23" t="s">
        <v>124</v>
      </c>
      <c r="C51" s="35">
        <f>_xlfn.XLOOKUP('2016 Ihlamur'!A51,Veri_Skor!A:A,Veri_Skor!S:S,"-",0)</f>
        <v>5.923696798844289</v>
      </c>
      <c r="D51" s="23">
        <v>4.5</v>
      </c>
      <c r="E51" s="23">
        <v>3</v>
      </c>
      <c r="F51" s="23">
        <v>1</v>
      </c>
      <c r="G51" s="24">
        <v>19734</v>
      </c>
      <c r="H51" s="25">
        <v>915</v>
      </c>
      <c r="I51" s="26">
        <v>1497</v>
      </c>
      <c r="J51" s="27">
        <v>468</v>
      </c>
      <c r="K51" s="28">
        <v>1619</v>
      </c>
      <c r="L51" s="29">
        <v>4499</v>
      </c>
    </row>
    <row r="52" spans="1:12" ht="15" customHeight="1" x14ac:dyDescent="0.2">
      <c r="A52" s="22" t="s">
        <v>125</v>
      </c>
      <c r="B52" s="23" t="s">
        <v>126</v>
      </c>
      <c r="C52" s="35">
        <f>_xlfn.XLOOKUP('2016 Ihlamur'!A52,Veri_Skor!A:A,Veri_Skor!S:S,"-",0)</f>
        <v>6.0327110198108684</v>
      </c>
      <c r="D52" s="23">
        <v>10.4</v>
      </c>
      <c r="E52" s="23">
        <v>3</v>
      </c>
      <c r="F52" s="23">
        <v>1</v>
      </c>
      <c r="G52" s="24">
        <v>5425</v>
      </c>
      <c r="H52" s="25">
        <v>122</v>
      </c>
      <c r="I52" s="26">
        <v>26</v>
      </c>
      <c r="J52" s="27">
        <v>112</v>
      </c>
      <c r="K52" s="28">
        <v>96</v>
      </c>
      <c r="L52" s="29">
        <v>356</v>
      </c>
    </row>
    <row r="53" spans="1:12" ht="15" customHeight="1" x14ac:dyDescent="0.2">
      <c r="A53" s="22" t="s">
        <v>127</v>
      </c>
      <c r="B53" s="23" t="s">
        <v>128</v>
      </c>
      <c r="C53" s="35">
        <f>_xlfn.XLOOKUP('2016 Ihlamur'!A53,Veri_Skor!A:A,Veri_Skor!S:S,"-",0)</f>
        <v>5.9975707572144392</v>
      </c>
      <c r="D53" s="23">
        <v>10.4</v>
      </c>
      <c r="E53" s="23">
        <v>3</v>
      </c>
      <c r="F53" s="23">
        <v>1</v>
      </c>
      <c r="G53" s="24">
        <v>3578</v>
      </c>
      <c r="H53" s="25">
        <v>39</v>
      </c>
      <c r="I53" s="26">
        <v>302</v>
      </c>
      <c r="J53" s="27">
        <v>184</v>
      </c>
      <c r="K53" s="28">
        <v>95</v>
      </c>
      <c r="L53" s="29">
        <v>620</v>
      </c>
    </row>
    <row r="54" spans="1:12" ht="15" customHeight="1" x14ac:dyDescent="0.2">
      <c r="A54" s="22" t="s">
        <v>129</v>
      </c>
      <c r="B54" s="23" t="s">
        <v>130</v>
      </c>
      <c r="C54" s="35">
        <f>_xlfn.XLOOKUP('2016 Ihlamur'!A54,Veri_Skor!A:A,Veri_Skor!S:S,"-",0)</f>
        <v>5.7130165878542956</v>
      </c>
      <c r="D54" s="23">
        <v>4.9000000000000004</v>
      </c>
      <c r="E54" s="23">
        <v>2</v>
      </c>
      <c r="F54" s="23">
        <v>1</v>
      </c>
      <c r="G54" s="24">
        <v>22469</v>
      </c>
      <c r="H54" s="25">
        <v>878</v>
      </c>
      <c r="I54" s="26">
        <v>879</v>
      </c>
      <c r="J54" s="27">
        <v>2757</v>
      </c>
      <c r="K54" s="28">
        <v>837</v>
      </c>
      <c r="L54" s="29">
        <v>5351</v>
      </c>
    </row>
    <row r="55" spans="1:12" ht="15" customHeight="1" x14ac:dyDescent="0.2">
      <c r="A55" s="22" t="s">
        <v>131</v>
      </c>
      <c r="B55" s="23" t="s">
        <v>132</v>
      </c>
      <c r="C55" s="35">
        <f>_xlfn.XLOOKUP('2016 Ihlamur'!A55,Veri_Skor!A:A,Veri_Skor!S:S,"-",0)</f>
        <v>5.7310223789299393</v>
      </c>
      <c r="D55" s="23">
        <v>5.3</v>
      </c>
      <c r="E55" s="23">
        <v>3</v>
      </c>
      <c r="F55" s="23">
        <v>1</v>
      </c>
      <c r="G55" s="24">
        <v>14221</v>
      </c>
      <c r="H55" s="25">
        <v>210</v>
      </c>
      <c r="I55" s="26">
        <v>585</v>
      </c>
      <c r="J55" s="27">
        <v>707</v>
      </c>
      <c r="K55" s="28">
        <v>450</v>
      </c>
      <c r="L55" s="29">
        <v>1952</v>
      </c>
    </row>
    <row r="56" spans="1:12" ht="15" customHeight="1" x14ac:dyDescent="0.2">
      <c r="A56" s="22" t="s">
        <v>133</v>
      </c>
      <c r="B56" s="23" t="s">
        <v>134</v>
      </c>
      <c r="C56" s="35">
        <f>_xlfn.XLOOKUP('2016 Ihlamur'!A56,Veri_Skor!A:A,Veri_Skor!S:S,"-",0)</f>
        <v>5.5857787724022554</v>
      </c>
      <c r="D56" s="23">
        <v>4.9000000000000004</v>
      </c>
      <c r="E56" s="23">
        <v>2</v>
      </c>
      <c r="F56" s="23">
        <v>1</v>
      </c>
      <c r="G56" s="24">
        <v>11278</v>
      </c>
      <c r="H56" s="25">
        <v>521</v>
      </c>
      <c r="I56" s="26">
        <v>1787</v>
      </c>
      <c r="J56" s="27">
        <v>556</v>
      </c>
      <c r="K56" s="28">
        <v>217</v>
      </c>
      <c r="L56" s="29">
        <v>3081</v>
      </c>
    </row>
    <row r="57" spans="1:12" ht="15" customHeight="1" x14ac:dyDescent="0.2">
      <c r="A57" s="22" t="s">
        <v>135</v>
      </c>
      <c r="B57" s="23" t="s">
        <v>136</v>
      </c>
      <c r="C57" s="35">
        <f>_xlfn.XLOOKUP('2016 Ihlamur'!A57,Veri_Skor!A:A,Veri_Skor!S:S,"-",0)</f>
        <v>5.4529179154956946</v>
      </c>
      <c r="D57" s="23">
        <v>4.7</v>
      </c>
      <c r="E57" s="23">
        <v>2</v>
      </c>
      <c r="F57" s="23">
        <v>1</v>
      </c>
      <c r="G57" s="24">
        <v>13894</v>
      </c>
      <c r="H57" s="25">
        <v>338</v>
      </c>
      <c r="I57" s="26">
        <v>345</v>
      </c>
      <c r="J57" s="27">
        <v>404</v>
      </c>
      <c r="K57" s="28">
        <v>1038</v>
      </c>
      <c r="L57" s="29">
        <v>2125</v>
      </c>
    </row>
    <row r="58" spans="1:12" ht="15" customHeight="1" x14ac:dyDescent="0.2">
      <c r="A58" s="22" t="s">
        <v>137</v>
      </c>
      <c r="B58" s="23" t="s">
        <v>138</v>
      </c>
      <c r="C58" s="35">
        <f>_xlfn.XLOOKUP('2016 Ihlamur'!A58,Veri_Skor!A:A,Veri_Skor!S:S,"-",0)</f>
        <v>5.4512061971740593</v>
      </c>
      <c r="D58" s="23">
        <v>10</v>
      </c>
      <c r="E58" s="23">
        <v>3</v>
      </c>
      <c r="F58" s="23">
        <v>1</v>
      </c>
      <c r="G58" s="24">
        <v>5743</v>
      </c>
      <c r="H58" s="25">
        <v>294</v>
      </c>
      <c r="I58" s="26">
        <v>288</v>
      </c>
      <c r="J58" s="27">
        <v>289</v>
      </c>
      <c r="K58" s="28">
        <v>91</v>
      </c>
      <c r="L58" s="29">
        <v>962</v>
      </c>
    </row>
    <row r="59" spans="1:12" ht="15" customHeight="1" x14ac:dyDescent="0.2">
      <c r="A59" s="22" t="s">
        <v>139</v>
      </c>
      <c r="B59" s="23" t="s">
        <v>140</v>
      </c>
      <c r="C59" s="35">
        <f>_xlfn.XLOOKUP('2016 Ihlamur'!A59,Veri_Skor!A:A,Veri_Skor!S:S,"-",0)</f>
        <v>5.1839124895327036</v>
      </c>
      <c r="D59" s="23">
        <v>8.8000000000000007</v>
      </c>
      <c r="E59" s="23">
        <v>3</v>
      </c>
      <c r="F59" s="23">
        <v>1</v>
      </c>
      <c r="G59" s="24">
        <v>16116</v>
      </c>
      <c r="H59" s="25">
        <v>225</v>
      </c>
      <c r="I59" s="26">
        <v>1388</v>
      </c>
      <c r="J59" s="27">
        <v>664</v>
      </c>
      <c r="K59" s="28">
        <v>446</v>
      </c>
      <c r="L59" s="29">
        <v>2723</v>
      </c>
    </row>
    <row r="60" spans="1:12" ht="15" customHeight="1" x14ac:dyDescent="0.2">
      <c r="A60" s="22" t="s">
        <v>141</v>
      </c>
      <c r="B60" s="23" t="s">
        <v>142</v>
      </c>
      <c r="C60" s="35">
        <f>_xlfn.XLOOKUP('2016 Ihlamur'!A60,Veri_Skor!A:A,Veri_Skor!S:S,"-",0)</f>
        <v>5.0603835867130291</v>
      </c>
      <c r="D60" s="23">
        <v>10</v>
      </c>
      <c r="E60" s="23">
        <v>3</v>
      </c>
      <c r="F60" s="23">
        <v>1</v>
      </c>
      <c r="G60" s="24">
        <v>6763</v>
      </c>
      <c r="H60" s="25">
        <v>130</v>
      </c>
      <c r="I60" s="26">
        <v>216</v>
      </c>
      <c r="J60" s="27">
        <v>195</v>
      </c>
      <c r="K60" s="28">
        <v>92</v>
      </c>
      <c r="L60" s="29">
        <v>633</v>
      </c>
    </row>
    <row r="61" spans="1:12" ht="15" customHeight="1" x14ac:dyDescent="0.2">
      <c r="A61" s="22" t="s">
        <v>143</v>
      </c>
      <c r="B61" s="23" t="s">
        <v>144</v>
      </c>
      <c r="C61" s="35">
        <f>_xlfn.XLOOKUP('2016 Ihlamur'!A61,Veri_Skor!A:A,Veri_Skor!S:S,"-",0)</f>
        <v>4.9197475411631313</v>
      </c>
      <c r="D61" s="23">
        <v>4.9000000000000004</v>
      </c>
      <c r="E61" s="23">
        <v>3</v>
      </c>
      <c r="F61" s="23">
        <v>1</v>
      </c>
      <c r="G61" s="24">
        <v>15820</v>
      </c>
      <c r="H61" s="25">
        <v>1422</v>
      </c>
      <c r="I61" s="26">
        <v>139</v>
      </c>
      <c r="J61" s="27">
        <v>592</v>
      </c>
      <c r="K61" s="28">
        <v>999</v>
      </c>
      <c r="L61" s="29">
        <v>3152</v>
      </c>
    </row>
    <row r="62" spans="1:12" ht="15" customHeight="1" x14ac:dyDescent="0.2">
      <c r="A62" s="22" t="s">
        <v>145</v>
      </c>
      <c r="B62" s="23" t="s">
        <v>146</v>
      </c>
      <c r="C62" s="35">
        <f>_xlfn.XLOOKUP('2016 Ihlamur'!A62,Veri_Skor!A:A,Veri_Skor!S:S,"-",0)</f>
        <v>5.0481861406180135</v>
      </c>
      <c r="D62" s="23">
        <v>10</v>
      </c>
      <c r="E62" s="23">
        <v>2</v>
      </c>
      <c r="F62" s="23">
        <v>1</v>
      </c>
      <c r="G62" s="24">
        <v>588</v>
      </c>
      <c r="H62" s="25">
        <v>41</v>
      </c>
      <c r="I62" s="26">
        <v>17</v>
      </c>
      <c r="J62" s="27">
        <v>20</v>
      </c>
      <c r="K62" s="28">
        <v>24</v>
      </c>
      <c r="L62" s="29">
        <v>102</v>
      </c>
    </row>
    <row r="63" spans="1:12" ht="15" customHeight="1" x14ac:dyDescent="0.2">
      <c r="A63" s="22" t="s">
        <v>147</v>
      </c>
      <c r="B63" s="23" t="s">
        <v>148</v>
      </c>
      <c r="C63" s="35">
        <f>_xlfn.XLOOKUP('2016 Ihlamur'!A63,Veri_Skor!A:A,Veri_Skor!S:S,"-",0)</f>
        <v>4.6593402517959559</v>
      </c>
      <c r="D63" s="23">
        <v>10</v>
      </c>
      <c r="E63" s="23">
        <v>3</v>
      </c>
      <c r="F63" s="23">
        <v>1</v>
      </c>
      <c r="G63" s="24">
        <v>531</v>
      </c>
      <c r="H63" s="25">
        <v>17</v>
      </c>
      <c r="I63" s="26">
        <v>15</v>
      </c>
      <c r="J63" s="27">
        <v>5</v>
      </c>
      <c r="K63" s="28">
        <v>9</v>
      </c>
      <c r="L63" s="29">
        <v>46</v>
      </c>
    </row>
    <row r="64" spans="1:12" ht="15" customHeight="1" x14ac:dyDescent="0.2">
      <c r="A64" s="22" t="s">
        <v>149</v>
      </c>
      <c r="B64" s="23" t="s">
        <v>150</v>
      </c>
      <c r="C64" s="35">
        <f>_xlfn.XLOOKUP('2016 Ihlamur'!A64,Veri_Skor!A:A,Veri_Skor!S:S,"-",0)</f>
        <v>4.3236791082737733</v>
      </c>
      <c r="D64" s="23">
        <v>4.9000000000000004</v>
      </c>
      <c r="E64" s="23">
        <v>3</v>
      </c>
      <c r="F64" s="23">
        <v>1</v>
      </c>
      <c r="G64" s="24">
        <v>17220</v>
      </c>
      <c r="H64" s="25">
        <v>860</v>
      </c>
      <c r="I64" s="26">
        <v>342</v>
      </c>
      <c r="J64" s="27">
        <v>501</v>
      </c>
      <c r="K64" s="28">
        <v>758</v>
      </c>
      <c r="L64" s="29">
        <v>2461</v>
      </c>
    </row>
    <row r="65" spans="1:12" ht="15" customHeight="1" x14ac:dyDescent="0.2">
      <c r="A65" s="22" t="s">
        <v>151</v>
      </c>
      <c r="B65" s="23" t="s">
        <v>152</v>
      </c>
      <c r="C65" s="35">
        <f>_xlfn.XLOOKUP('2016 Ihlamur'!A65,Veri_Skor!A:A,Veri_Skor!S:S,"-",0)</f>
        <v>4.3855935633477161</v>
      </c>
      <c r="D65" s="23">
        <v>10</v>
      </c>
      <c r="E65" s="23">
        <v>2</v>
      </c>
      <c r="F65" s="23">
        <v>1</v>
      </c>
      <c r="G65" s="24">
        <v>4713</v>
      </c>
      <c r="H65" s="25">
        <v>93</v>
      </c>
      <c r="I65" s="26">
        <v>247</v>
      </c>
      <c r="J65" s="27">
        <v>250</v>
      </c>
      <c r="K65" s="28">
        <v>282</v>
      </c>
      <c r="L65" s="29">
        <v>872</v>
      </c>
    </row>
    <row r="66" spans="1:12" ht="15" customHeight="1" x14ac:dyDescent="0.2">
      <c r="A66" s="22" t="s">
        <v>153</v>
      </c>
      <c r="B66" s="23" t="s">
        <v>154</v>
      </c>
      <c r="C66" s="35">
        <f>_xlfn.XLOOKUP('2016 Ihlamur'!A66,Veri_Skor!A:A,Veri_Skor!S:S,"-",0)</f>
        <v>4.4351015498838207</v>
      </c>
      <c r="D66" s="23">
        <v>4.9000000000000004</v>
      </c>
      <c r="E66" s="23">
        <v>1</v>
      </c>
      <c r="F66" s="23">
        <v>1</v>
      </c>
      <c r="G66" s="24">
        <v>0</v>
      </c>
      <c r="H66" s="25">
        <v>0</v>
      </c>
      <c r="I66" s="26">
        <v>0</v>
      </c>
      <c r="J66" s="27">
        <v>0</v>
      </c>
      <c r="K66" s="28">
        <v>0</v>
      </c>
      <c r="L66" s="29">
        <v>0</v>
      </c>
    </row>
    <row r="67" spans="1:12" ht="15" customHeight="1" x14ac:dyDescent="0.2">
      <c r="A67" s="22" t="s">
        <v>155</v>
      </c>
      <c r="B67" s="23" t="s">
        <v>156</v>
      </c>
      <c r="C67" s="35">
        <f>_xlfn.XLOOKUP('2016 Ihlamur'!A67,Veri_Skor!A:A,Veri_Skor!S:S,"-",0)</f>
        <v>4.33428070415032</v>
      </c>
      <c r="D67" s="23">
        <v>10</v>
      </c>
      <c r="E67" s="23">
        <v>3</v>
      </c>
      <c r="F67" s="23">
        <v>1</v>
      </c>
      <c r="G67" s="24">
        <v>292</v>
      </c>
      <c r="H67" s="25">
        <v>7</v>
      </c>
      <c r="I67" s="26">
        <v>4</v>
      </c>
      <c r="J67" s="27">
        <v>14</v>
      </c>
      <c r="K67" s="28">
        <v>8</v>
      </c>
      <c r="L67" s="29">
        <v>33</v>
      </c>
    </row>
    <row r="68" spans="1:12" ht="15" customHeight="1" x14ac:dyDescent="0.2">
      <c r="A68" s="22" t="s">
        <v>157</v>
      </c>
      <c r="B68" s="23" t="s">
        <v>158</v>
      </c>
      <c r="C68" s="35">
        <f>_xlfn.XLOOKUP('2016 Ihlamur'!A68,Veri_Skor!A:A,Veri_Skor!S:S,"-",0)</f>
        <v>3.9163844903307483</v>
      </c>
      <c r="D68" s="23">
        <v>5.0999999999999996</v>
      </c>
      <c r="E68" s="23">
        <v>2</v>
      </c>
      <c r="F68" s="23">
        <v>1</v>
      </c>
      <c r="G68" s="24">
        <v>15265</v>
      </c>
      <c r="H68" s="25">
        <v>279</v>
      </c>
      <c r="I68" s="26">
        <v>1012</v>
      </c>
      <c r="J68" s="27">
        <v>783</v>
      </c>
      <c r="K68" s="28">
        <v>953</v>
      </c>
      <c r="L68" s="29">
        <v>3027</v>
      </c>
    </row>
    <row r="69" spans="1:12" ht="15" customHeight="1" x14ac:dyDescent="0.2">
      <c r="A69" s="22" t="s">
        <v>159</v>
      </c>
      <c r="B69" s="23" t="s">
        <v>160</v>
      </c>
      <c r="C69" s="35">
        <f>_xlfn.XLOOKUP('2016 Ihlamur'!A69,Veri_Skor!A:A,Veri_Skor!S:S,"-",0)</f>
        <v>3.8216531212396743</v>
      </c>
      <c r="D69" s="23">
        <v>4.9000000000000004</v>
      </c>
      <c r="E69" s="23">
        <v>3</v>
      </c>
      <c r="F69" s="23">
        <v>1</v>
      </c>
      <c r="G69" s="24">
        <v>10017</v>
      </c>
      <c r="H69" s="25">
        <v>202</v>
      </c>
      <c r="I69" s="26">
        <v>387</v>
      </c>
      <c r="J69" s="27">
        <v>169</v>
      </c>
      <c r="K69" s="28">
        <v>183</v>
      </c>
      <c r="L69" s="29">
        <v>941</v>
      </c>
    </row>
    <row r="70" spans="1:12" ht="15" customHeight="1" x14ac:dyDescent="0.2">
      <c r="A70" s="22" t="s">
        <v>161</v>
      </c>
      <c r="B70" s="23" t="s">
        <v>162</v>
      </c>
      <c r="C70" s="35">
        <f>_xlfn.XLOOKUP('2016 Ihlamur'!A70,Veri_Skor!A:A,Veri_Skor!S:S,"-",0)</f>
        <v>3.549719057945087</v>
      </c>
      <c r="D70" s="23">
        <v>4.4000000000000004</v>
      </c>
      <c r="E70" s="23">
        <v>2</v>
      </c>
      <c r="F70" s="23">
        <v>1</v>
      </c>
      <c r="G70" s="24">
        <v>10557</v>
      </c>
      <c r="H70" s="25">
        <v>1013</v>
      </c>
      <c r="I70" s="26">
        <v>757</v>
      </c>
      <c r="J70" s="27">
        <v>187</v>
      </c>
      <c r="K70" s="28">
        <v>287</v>
      </c>
      <c r="L70" s="29">
        <v>2244</v>
      </c>
    </row>
    <row r="71" spans="1:12" ht="15" customHeight="1" x14ac:dyDescent="0.2">
      <c r="A71" s="22" t="s">
        <v>163</v>
      </c>
      <c r="B71" s="23" t="s">
        <v>164</v>
      </c>
      <c r="C71" s="35">
        <f>_xlfn.XLOOKUP('2016 Ihlamur'!A71,Veri_Skor!A:A,Veri_Skor!S:S,"-",0)</f>
        <v>3.5209727200086176</v>
      </c>
      <c r="D71" s="23">
        <v>10</v>
      </c>
      <c r="E71" s="23">
        <v>2</v>
      </c>
      <c r="F71" s="23">
        <v>1</v>
      </c>
      <c r="G71" s="24">
        <v>1129</v>
      </c>
      <c r="H71" s="25">
        <v>42</v>
      </c>
      <c r="I71" s="26">
        <v>150</v>
      </c>
      <c r="J71" s="27">
        <v>74</v>
      </c>
      <c r="K71" s="28">
        <v>17</v>
      </c>
      <c r="L71" s="29">
        <v>283</v>
      </c>
    </row>
    <row r="72" spans="1:12" ht="15" customHeight="1" x14ac:dyDescent="0.2">
      <c r="A72" s="22" t="s">
        <v>165</v>
      </c>
      <c r="B72" s="23" t="s">
        <v>166</v>
      </c>
      <c r="C72" s="35">
        <f>_xlfn.XLOOKUP('2016 Ihlamur'!A72,Veri_Skor!A:A,Veri_Skor!S:S,"-",0)</f>
        <v>3.5958113036323813</v>
      </c>
      <c r="D72" s="23">
        <v>11.2</v>
      </c>
      <c r="E72" s="23">
        <v>2</v>
      </c>
      <c r="F72" s="23">
        <v>1</v>
      </c>
      <c r="G72" s="24">
        <v>869</v>
      </c>
      <c r="H72" s="25">
        <v>19</v>
      </c>
      <c r="I72" s="26">
        <v>9</v>
      </c>
      <c r="J72" s="27">
        <v>15</v>
      </c>
      <c r="K72" s="28">
        <v>63</v>
      </c>
      <c r="L72" s="29">
        <v>106</v>
      </c>
    </row>
    <row r="73" spans="1:12" ht="15" customHeight="1" x14ac:dyDescent="0.2">
      <c r="A73" s="22" t="s">
        <v>167</v>
      </c>
      <c r="B73" s="23" t="s">
        <v>168</v>
      </c>
      <c r="C73" s="35">
        <f>_xlfn.XLOOKUP('2016 Ihlamur'!A73,Veri_Skor!A:A,Veri_Skor!S:S,"-",0)</f>
        <v>3.5590533388646071</v>
      </c>
      <c r="D73" s="23">
        <v>11.2</v>
      </c>
      <c r="E73" s="23">
        <v>2</v>
      </c>
      <c r="F73" s="23">
        <v>1</v>
      </c>
      <c r="G73" s="24">
        <v>873</v>
      </c>
      <c r="H73" s="25">
        <v>71</v>
      </c>
      <c r="I73" s="26">
        <v>54</v>
      </c>
      <c r="J73" s="27">
        <v>24</v>
      </c>
      <c r="K73" s="28">
        <v>63</v>
      </c>
      <c r="L73" s="29">
        <v>212</v>
      </c>
    </row>
    <row r="74" spans="1:12" ht="15" customHeight="1" x14ac:dyDescent="0.2">
      <c r="A74" s="22" t="s">
        <v>169</v>
      </c>
      <c r="B74" s="23" t="s">
        <v>170</v>
      </c>
      <c r="C74" s="35">
        <f>_xlfn.XLOOKUP('2016 Ihlamur'!A74,Veri_Skor!A:A,Veri_Skor!S:S,"-",0)</f>
        <v>3.1655533567095064</v>
      </c>
      <c r="D74" s="23">
        <v>4.7</v>
      </c>
      <c r="E74" s="23">
        <v>2</v>
      </c>
      <c r="F74" s="23">
        <v>1</v>
      </c>
      <c r="G74" s="24">
        <v>11518</v>
      </c>
      <c r="H74" s="25">
        <v>521</v>
      </c>
      <c r="I74" s="26">
        <v>484</v>
      </c>
      <c r="J74" s="27">
        <v>482</v>
      </c>
      <c r="K74" s="28">
        <v>723</v>
      </c>
      <c r="L74" s="29">
        <v>2210</v>
      </c>
    </row>
    <row r="75" spans="1:12" ht="15" customHeight="1" x14ac:dyDescent="0.2">
      <c r="A75" s="22" t="s">
        <v>171</v>
      </c>
      <c r="B75" s="23" t="s">
        <v>172</v>
      </c>
      <c r="C75" s="35">
        <f>_xlfn.XLOOKUP('2016 Ihlamur'!A75,Veri_Skor!A:A,Veri_Skor!S:S,"-",0)</f>
        <v>2.0688476005927274</v>
      </c>
      <c r="D75" s="23">
        <v>4.9000000000000004</v>
      </c>
      <c r="E75" s="23">
        <v>2</v>
      </c>
      <c r="F75" s="23">
        <v>1</v>
      </c>
      <c r="G75" s="24">
        <v>0</v>
      </c>
      <c r="H75" s="25">
        <v>0</v>
      </c>
      <c r="I75" s="26">
        <v>0</v>
      </c>
      <c r="J75" s="27">
        <v>0</v>
      </c>
      <c r="K75" s="28">
        <v>0</v>
      </c>
      <c r="L75" s="29">
        <v>0</v>
      </c>
    </row>
    <row r="76" spans="1:12" ht="15" customHeight="1" x14ac:dyDescent="0.2">
      <c r="A76" s="22" t="s">
        <v>173</v>
      </c>
      <c r="B76" s="23" t="s">
        <v>174</v>
      </c>
      <c r="C76" s="35">
        <f>_xlfn.XLOOKUP('2016 Ihlamur'!A76,Veri_Skor!A:A,Veri_Skor!S:S,"-",0)</f>
        <v>1.158165831763619</v>
      </c>
      <c r="D76" s="23">
        <v>4.3</v>
      </c>
      <c r="E76" s="23">
        <v>1</v>
      </c>
      <c r="F76" s="23">
        <v>1</v>
      </c>
      <c r="G76" s="24">
        <v>3586</v>
      </c>
      <c r="H76" s="25">
        <v>196</v>
      </c>
      <c r="I76" s="26">
        <v>308</v>
      </c>
      <c r="J76" s="27">
        <v>377</v>
      </c>
      <c r="K76" s="28">
        <v>79</v>
      </c>
      <c r="L76" s="29">
        <v>960</v>
      </c>
    </row>
    <row r="77" spans="1:12" ht="15" customHeight="1" x14ac:dyDescent="0.2">
      <c r="A77" s="22" t="s">
        <v>175</v>
      </c>
      <c r="B77" s="23" t="s">
        <v>176</v>
      </c>
      <c r="C77" s="35">
        <f>_xlfn.XLOOKUP('2016 Ihlamur'!A77,Veri_Skor!A:A,Veri_Skor!S:S,"-",0)</f>
        <v>1.1113644135415479</v>
      </c>
      <c r="D77" s="23">
        <v>10</v>
      </c>
      <c r="E77" s="23">
        <v>2</v>
      </c>
      <c r="F77" s="23">
        <v>1</v>
      </c>
      <c r="G77" s="24">
        <v>0</v>
      </c>
      <c r="H77" s="25">
        <v>0</v>
      </c>
      <c r="I77" s="26">
        <v>0</v>
      </c>
      <c r="J77" s="27">
        <v>0</v>
      </c>
      <c r="K77" s="28">
        <v>0</v>
      </c>
      <c r="L77" s="29">
        <v>0</v>
      </c>
    </row>
    <row r="78" spans="1:12" ht="15" customHeight="1" x14ac:dyDescent="0.2">
      <c r="A78" s="22" t="s">
        <v>177</v>
      </c>
      <c r="B78" s="23" t="s">
        <v>178</v>
      </c>
      <c r="C78" s="35">
        <f>_xlfn.XLOOKUP('2016 Ihlamur'!A78,Veri_Skor!A:A,Veri_Skor!S:S,"-",0)</f>
        <v>0.92328735894220915</v>
      </c>
      <c r="D78" s="23">
        <v>10</v>
      </c>
      <c r="E78" s="23">
        <v>2</v>
      </c>
      <c r="F78" s="23">
        <v>1</v>
      </c>
      <c r="G78" s="24">
        <v>0</v>
      </c>
      <c r="H78" s="25">
        <v>0</v>
      </c>
      <c r="I78" s="26">
        <v>0</v>
      </c>
      <c r="J78" s="27">
        <v>0</v>
      </c>
      <c r="K78" s="28">
        <v>0</v>
      </c>
      <c r="L78" s="29">
        <v>0</v>
      </c>
    </row>
    <row r="79" spans="1:12" ht="15" customHeight="1" x14ac:dyDescent="0.2">
      <c r="A79" s="22" t="s">
        <v>179</v>
      </c>
      <c r="B79" s="23" t="s">
        <v>180</v>
      </c>
      <c r="C79" s="35">
        <f>_xlfn.XLOOKUP('2016 Ihlamur'!A79,Veri_Skor!A:A,Veri_Skor!S:S,"-",0)</f>
        <v>0.56423116379801663</v>
      </c>
      <c r="D79" s="23">
        <v>10</v>
      </c>
      <c r="E79" s="23">
        <v>3</v>
      </c>
      <c r="F79" s="23">
        <v>1</v>
      </c>
      <c r="G79" s="24">
        <v>0</v>
      </c>
      <c r="H79" s="25">
        <v>0</v>
      </c>
      <c r="I79" s="26">
        <v>0</v>
      </c>
      <c r="J79" s="27">
        <v>0</v>
      </c>
      <c r="K79" s="28">
        <v>0</v>
      </c>
      <c r="L79" s="29">
        <v>0</v>
      </c>
    </row>
    <row r="80" spans="1:12" ht="15" customHeight="1" x14ac:dyDescent="0.2">
      <c r="A80" s="22" t="s">
        <v>181</v>
      </c>
      <c r="B80" s="23" t="s">
        <v>182</v>
      </c>
      <c r="C80" s="35">
        <f>_xlfn.XLOOKUP('2016 Ihlamur'!A80,Veri_Skor!A:A,Veri_Skor!S:S,"-",0)</f>
        <v>0.54713324974353128</v>
      </c>
      <c r="D80" s="23">
        <v>4.5</v>
      </c>
      <c r="E80" s="23">
        <v>3</v>
      </c>
      <c r="F80" s="23">
        <v>1</v>
      </c>
      <c r="G80" s="24">
        <v>0</v>
      </c>
      <c r="H80" s="25">
        <v>0</v>
      </c>
      <c r="I80" s="26">
        <v>0</v>
      </c>
      <c r="J80" s="27">
        <v>0</v>
      </c>
      <c r="K80" s="28">
        <v>0</v>
      </c>
      <c r="L80" s="29">
        <v>0</v>
      </c>
    </row>
    <row r="81" spans="1:12" ht="15" customHeight="1" x14ac:dyDescent="0.2">
      <c r="A81" s="22" t="s">
        <v>183</v>
      </c>
      <c r="B81" s="23" t="s">
        <v>184</v>
      </c>
      <c r="C81" s="35">
        <f>_xlfn.XLOOKUP('2016 Ihlamur'!A81,Veri_Skor!A:A,Veri_Skor!S:S,"-",0)</f>
        <v>0</v>
      </c>
      <c r="D81" s="23">
        <v>6.1</v>
      </c>
      <c r="E81" s="23">
        <v>2</v>
      </c>
      <c r="F81" s="23">
        <v>1</v>
      </c>
      <c r="G81" s="24">
        <v>0</v>
      </c>
      <c r="H81" s="25">
        <v>0</v>
      </c>
      <c r="I81" s="26">
        <v>0</v>
      </c>
      <c r="J81" s="27">
        <v>0</v>
      </c>
      <c r="K81" s="28">
        <v>0</v>
      </c>
      <c r="L81" s="29">
        <v>0</v>
      </c>
    </row>
    <row r="82" spans="1:12" ht="15" customHeight="1" x14ac:dyDescent="0.2">
      <c r="A82" s="15" t="s">
        <v>185</v>
      </c>
      <c r="B82" s="16" t="s">
        <v>186</v>
      </c>
      <c r="C82" s="35">
        <f>_xlfn.XLOOKUP('2016 Ihlamur'!A82,Veri_Skor!A:A,Veri_Skor!S:S,"-",0)</f>
        <v>5.0000000000000009</v>
      </c>
      <c r="D82" s="36">
        <v>4.5999999999999996</v>
      </c>
      <c r="E82" s="36">
        <v>2</v>
      </c>
      <c r="F82" s="36">
        <v>1</v>
      </c>
      <c r="G82" s="24">
        <v>1</v>
      </c>
      <c r="H82" s="25"/>
      <c r="I82" s="26"/>
      <c r="J82" s="27"/>
      <c r="K82" s="28"/>
      <c r="L82" s="29">
        <v>0</v>
      </c>
    </row>
    <row r="83" spans="1:12" ht="15" customHeight="1" x14ac:dyDescent="0.2">
      <c r="A83" s="15" t="s">
        <v>188</v>
      </c>
      <c r="B83" s="16" t="s">
        <v>189</v>
      </c>
      <c r="C83" s="35">
        <f>_xlfn.XLOOKUP('2016 Ihlamur'!A83,Veri_Skor!A:A,Veri_Skor!S:S,"-",0)</f>
        <v>5.0000000000000009</v>
      </c>
      <c r="D83" s="36">
        <v>4.5999999999999996</v>
      </c>
      <c r="E83" s="36">
        <v>2</v>
      </c>
      <c r="F83" s="36">
        <v>1</v>
      </c>
      <c r="G83" s="24">
        <v>1</v>
      </c>
      <c r="H83" s="25"/>
      <c r="I83" s="26"/>
      <c r="J83" s="27"/>
      <c r="K83" s="28"/>
      <c r="L83" s="29">
        <v>0</v>
      </c>
    </row>
    <row r="84" spans="1:12" ht="15" customHeight="1" x14ac:dyDescent="0.2">
      <c r="B84" s="30" t="s">
        <v>6</v>
      </c>
      <c r="C84" s="35"/>
      <c r="G84" s="31">
        <f t="shared" ref="G84:L84" si="0">SUM(F3:F81)</f>
        <v>79</v>
      </c>
      <c r="H84" s="31">
        <f t="shared" si="0"/>
        <v>2656547</v>
      </c>
      <c r="I84" s="31">
        <f t="shared" si="0"/>
        <v>143199</v>
      </c>
      <c r="J84" s="31">
        <f t="shared" si="0"/>
        <v>127130</v>
      </c>
      <c r="K84" s="31">
        <f t="shared" si="0"/>
        <v>133222</v>
      </c>
      <c r="L84" s="31">
        <f t="shared" si="0"/>
        <v>133126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4"/>
  <sheetViews>
    <sheetView zoomScaleNormal="100" workbookViewId="0">
      <selection activeCell="C78" sqref="C78"/>
    </sheetView>
  </sheetViews>
  <sheetFormatPr baseColWidth="10" defaultColWidth="8.6640625" defaultRowHeight="15" x14ac:dyDescent="0.2"/>
  <cols>
    <col min="1" max="1" width="15" customWidth="1"/>
    <col min="2" max="3" width="12" customWidth="1"/>
    <col min="4" max="5" width="11" customWidth="1"/>
    <col min="6" max="6" width="14" customWidth="1"/>
    <col min="7" max="10" width="12" customWidth="1"/>
    <col min="11" max="11" width="14" customWidth="1"/>
  </cols>
  <sheetData>
    <row r="1" spans="1:12" ht="3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4.75" customHeight="1" x14ac:dyDescent="0.2">
      <c r="A2" s="20" t="s">
        <v>7</v>
      </c>
      <c r="B2" s="21" t="s">
        <v>8</v>
      </c>
      <c r="C2" s="21" t="s">
        <v>20</v>
      </c>
      <c r="D2" s="21" t="s">
        <v>10</v>
      </c>
      <c r="E2" s="21" t="s">
        <v>21</v>
      </c>
      <c r="F2" s="21" t="s">
        <v>23</v>
      </c>
      <c r="G2" s="21" t="s">
        <v>190</v>
      </c>
      <c r="H2" s="21" t="s">
        <v>191</v>
      </c>
      <c r="I2" s="21" t="s">
        <v>192</v>
      </c>
      <c r="J2" s="21" t="s">
        <v>193</v>
      </c>
      <c r="K2" s="21" t="s">
        <v>194</v>
      </c>
      <c r="L2" s="21" t="s">
        <v>195</v>
      </c>
    </row>
    <row r="3" spans="1:12" ht="15" customHeight="1" x14ac:dyDescent="0.2">
      <c r="A3" s="22" t="s">
        <v>25</v>
      </c>
      <c r="B3" s="23" t="s">
        <v>26</v>
      </c>
      <c r="C3" s="23">
        <v>66.47</v>
      </c>
      <c r="D3" s="23">
        <v>4.8</v>
      </c>
      <c r="E3" s="23">
        <v>4</v>
      </c>
      <c r="F3" s="23">
        <v>1</v>
      </c>
      <c r="G3" s="24">
        <v>348723</v>
      </c>
      <c r="H3" s="25">
        <v>3041</v>
      </c>
      <c r="I3" s="26">
        <v>6706</v>
      </c>
      <c r="J3" s="27">
        <v>16191</v>
      </c>
      <c r="K3" s="28">
        <v>29465</v>
      </c>
      <c r="L3" s="29">
        <v>55403</v>
      </c>
    </row>
    <row r="4" spans="1:12" ht="15" customHeight="1" x14ac:dyDescent="0.2">
      <c r="A4" s="22" t="s">
        <v>29</v>
      </c>
      <c r="B4" s="23" t="s">
        <v>30</v>
      </c>
      <c r="C4" s="23">
        <v>62.65</v>
      </c>
      <c r="D4" s="23">
        <v>5.6</v>
      </c>
      <c r="E4" s="23">
        <v>4</v>
      </c>
      <c r="F4" s="23">
        <v>1</v>
      </c>
      <c r="G4" s="24">
        <v>107616</v>
      </c>
      <c r="H4" s="25">
        <v>7074</v>
      </c>
      <c r="I4" s="26">
        <v>6721</v>
      </c>
      <c r="J4" s="27">
        <v>2269</v>
      </c>
      <c r="K4" s="28">
        <v>3279</v>
      </c>
      <c r="L4" s="29">
        <v>19343</v>
      </c>
    </row>
    <row r="5" spans="1:12" ht="15" customHeight="1" x14ac:dyDescent="0.2">
      <c r="A5" s="22" t="s">
        <v>31</v>
      </c>
      <c r="B5" s="23" t="s">
        <v>32</v>
      </c>
      <c r="C5" s="23">
        <v>53.95</v>
      </c>
      <c r="D5" s="23">
        <v>4.9000000000000004</v>
      </c>
      <c r="E5" s="23">
        <v>4</v>
      </c>
      <c r="F5" s="23">
        <v>1</v>
      </c>
      <c r="G5" s="24">
        <v>147194</v>
      </c>
      <c r="H5" s="25">
        <v>8210</v>
      </c>
      <c r="I5" s="26">
        <v>2525</v>
      </c>
      <c r="J5" s="27">
        <v>5365</v>
      </c>
      <c r="K5" s="28">
        <v>6353</v>
      </c>
      <c r="L5" s="29">
        <v>22453</v>
      </c>
    </row>
    <row r="6" spans="1:12" ht="15" customHeight="1" x14ac:dyDescent="0.2">
      <c r="A6" s="22" t="s">
        <v>33</v>
      </c>
      <c r="B6" s="23" t="s">
        <v>34</v>
      </c>
      <c r="C6" s="23">
        <v>50.77</v>
      </c>
      <c r="D6" s="23">
        <v>4.5</v>
      </c>
      <c r="E6" s="23">
        <v>3</v>
      </c>
      <c r="F6" s="23">
        <v>1</v>
      </c>
      <c r="G6" s="24">
        <v>126564</v>
      </c>
      <c r="H6" s="25">
        <v>10722</v>
      </c>
      <c r="I6" s="26">
        <v>2838</v>
      </c>
      <c r="J6" s="27">
        <v>2050</v>
      </c>
      <c r="K6" s="28">
        <v>7555</v>
      </c>
      <c r="L6" s="29">
        <v>23165</v>
      </c>
    </row>
    <row r="7" spans="1:12" ht="15" customHeight="1" x14ac:dyDescent="0.2">
      <c r="A7" s="22" t="s">
        <v>35</v>
      </c>
      <c r="B7" s="23" t="s">
        <v>36</v>
      </c>
      <c r="C7" s="23">
        <v>47.73</v>
      </c>
      <c r="D7" s="23">
        <v>4.9000000000000004</v>
      </c>
      <c r="E7" s="23">
        <v>3</v>
      </c>
      <c r="F7" s="23">
        <v>1</v>
      </c>
      <c r="G7" s="24">
        <v>133104</v>
      </c>
      <c r="H7" s="25">
        <v>5284</v>
      </c>
      <c r="I7" s="26">
        <v>4489</v>
      </c>
      <c r="J7" s="27">
        <v>12475</v>
      </c>
      <c r="K7" s="28">
        <v>8180</v>
      </c>
      <c r="L7" s="29">
        <v>30428</v>
      </c>
    </row>
    <row r="8" spans="1:12" ht="15" customHeight="1" x14ac:dyDescent="0.2">
      <c r="A8" s="22" t="s">
        <v>37</v>
      </c>
      <c r="B8" s="23" t="s">
        <v>38</v>
      </c>
      <c r="C8" s="23">
        <v>32.549999999999997</v>
      </c>
      <c r="D8" s="23">
        <v>4.7</v>
      </c>
      <c r="E8" s="23">
        <v>4</v>
      </c>
      <c r="F8" s="23">
        <v>1</v>
      </c>
      <c r="G8" s="24">
        <v>108865</v>
      </c>
      <c r="H8" s="25">
        <v>7763</v>
      </c>
      <c r="I8" s="26">
        <v>576</v>
      </c>
      <c r="J8" s="27">
        <v>1793</v>
      </c>
      <c r="K8" s="28">
        <v>4438</v>
      </c>
      <c r="L8" s="29">
        <v>14570</v>
      </c>
    </row>
    <row r="9" spans="1:12" ht="15" customHeight="1" x14ac:dyDescent="0.2">
      <c r="A9" s="22" t="s">
        <v>39</v>
      </c>
      <c r="B9" s="23" t="s">
        <v>40</v>
      </c>
      <c r="C9" s="23">
        <v>31.7</v>
      </c>
      <c r="D9" s="23">
        <v>5.0999999999999996</v>
      </c>
      <c r="E9" s="23">
        <v>3</v>
      </c>
      <c r="F9" s="23">
        <v>1</v>
      </c>
      <c r="G9" s="24">
        <v>101588</v>
      </c>
      <c r="H9" s="25">
        <v>1822</v>
      </c>
      <c r="I9" s="26">
        <v>8732</v>
      </c>
      <c r="J9" s="27">
        <v>1307</v>
      </c>
      <c r="K9" s="28">
        <v>7985</v>
      </c>
      <c r="L9" s="29">
        <v>19846</v>
      </c>
    </row>
    <row r="10" spans="1:12" ht="15" customHeight="1" x14ac:dyDescent="0.2">
      <c r="A10" s="22" t="s">
        <v>41</v>
      </c>
      <c r="B10" s="23" t="s">
        <v>42</v>
      </c>
      <c r="C10" s="23">
        <v>26.5</v>
      </c>
      <c r="D10" s="23">
        <v>4.9000000000000004</v>
      </c>
      <c r="E10" s="23">
        <v>4</v>
      </c>
      <c r="F10" s="23">
        <v>1</v>
      </c>
      <c r="G10" s="24">
        <v>113921</v>
      </c>
      <c r="H10" s="25">
        <v>7841</v>
      </c>
      <c r="I10" s="26">
        <v>7793</v>
      </c>
      <c r="J10" s="27">
        <v>9987</v>
      </c>
      <c r="K10" s="28">
        <v>4978</v>
      </c>
      <c r="L10" s="29">
        <v>30599</v>
      </c>
    </row>
    <row r="11" spans="1:12" ht="15" customHeight="1" x14ac:dyDescent="0.2">
      <c r="A11" s="22" t="s">
        <v>43</v>
      </c>
      <c r="B11" s="23" t="s">
        <v>44</v>
      </c>
      <c r="C11" s="23">
        <v>23.83</v>
      </c>
      <c r="D11" s="23">
        <v>4.9000000000000004</v>
      </c>
      <c r="E11" s="23">
        <v>4</v>
      </c>
      <c r="F11" s="23">
        <v>1</v>
      </c>
      <c r="G11" s="24">
        <v>96479</v>
      </c>
      <c r="H11" s="25">
        <v>4059</v>
      </c>
      <c r="I11" s="26">
        <v>4434</v>
      </c>
      <c r="J11" s="27">
        <v>3737</v>
      </c>
      <c r="K11" s="28">
        <v>5433</v>
      </c>
      <c r="L11" s="29">
        <v>17663</v>
      </c>
    </row>
    <row r="12" spans="1:12" ht="15" customHeight="1" x14ac:dyDescent="0.2">
      <c r="A12" s="22" t="s">
        <v>45</v>
      </c>
      <c r="B12" s="23" t="s">
        <v>46</v>
      </c>
      <c r="C12" s="23">
        <v>22.42</v>
      </c>
      <c r="D12" s="23">
        <v>4.9000000000000004</v>
      </c>
      <c r="E12" s="23">
        <v>3</v>
      </c>
      <c r="F12" s="23">
        <v>1</v>
      </c>
      <c r="G12" s="24">
        <v>60856</v>
      </c>
      <c r="H12" s="25">
        <v>4136</v>
      </c>
      <c r="I12" s="26">
        <v>1852</v>
      </c>
      <c r="J12" s="27">
        <v>3908</v>
      </c>
      <c r="K12" s="28">
        <v>1994</v>
      </c>
      <c r="L12" s="29">
        <v>11890</v>
      </c>
    </row>
    <row r="13" spans="1:12" ht="15" customHeight="1" x14ac:dyDescent="0.2">
      <c r="A13" s="22" t="s">
        <v>47</v>
      </c>
      <c r="B13" s="23" t="s">
        <v>48</v>
      </c>
      <c r="C13" s="23">
        <v>20.05</v>
      </c>
      <c r="D13" s="23">
        <v>5.2</v>
      </c>
      <c r="E13" s="23">
        <v>4</v>
      </c>
      <c r="F13" s="23">
        <v>1</v>
      </c>
      <c r="G13" s="24">
        <v>49795</v>
      </c>
      <c r="H13" s="25">
        <v>868</v>
      </c>
      <c r="I13" s="26">
        <v>4258</v>
      </c>
      <c r="J13" s="27">
        <v>5589</v>
      </c>
      <c r="K13" s="28">
        <v>2375</v>
      </c>
      <c r="L13" s="29">
        <v>13090</v>
      </c>
    </row>
    <row r="14" spans="1:12" ht="15" customHeight="1" x14ac:dyDescent="0.2">
      <c r="A14" s="22" t="s">
        <v>49</v>
      </c>
      <c r="B14" s="23" t="s">
        <v>50</v>
      </c>
      <c r="C14" s="23">
        <v>19.3</v>
      </c>
      <c r="D14" s="23">
        <v>4.9000000000000004</v>
      </c>
      <c r="E14" s="23">
        <v>3</v>
      </c>
      <c r="F14" s="23">
        <v>1</v>
      </c>
      <c r="G14" s="24">
        <v>86848</v>
      </c>
      <c r="H14" s="25">
        <v>1188</v>
      </c>
      <c r="I14" s="26">
        <v>2174</v>
      </c>
      <c r="J14" s="27">
        <v>1573</v>
      </c>
      <c r="K14" s="28">
        <v>8081</v>
      </c>
      <c r="L14" s="29">
        <v>13016</v>
      </c>
    </row>
    <row r="15" spans="1:12" ht="15" customHeight="1" x14ac:dyDescent="0.2">
      <c r="A15" s="22" t="s">
        <v>51</v>
      </c>
      <c r="B15" s="23" t="s">
        <v>52</v>
      </c>
      <c r="C15" s="23">
        <v>19.190000000000001</v>
      </c>
      <c r="D15" s="23">
        <v>6.8</v>
      </c>
      <c r="E15" s="23">
        <v>3</v>
      </c>
      <c r="F15" s="23">
        <v>1</v>
      </c>
      <c r="G15" s="24">
        <v>8951</v>
      </c>
      <c r="H15" s="25">
        <v>363</v>
      </c>
      <c r="I15" s="26">
        <v>511</v>
      </c>
      <c r="J15" s="27">
        <v>101</v>
      </c>
      <c r="K15" s="28">
        <v>229</v>
      </c>
      <c r="L15" s="29">
        <v>1204</v>
      </c>
    </row>
    <row r="16" spans="1:12" ht="15" customHeight="1" x14ac:dyDescent="0.2">
      <c r="A16" s="22" t="s">
        <v>53</v>
      </c>
      <c r="B16" s="23" t="s">
        <v>54</v>
      </c>
      <c r="C16" s="23">
        <v>18.98</v>
      </c>
      <c r="D16" s="23">
        <v>5</v>
      </c>
      <c r="E16" s="23">
        <v>2</v>
      </c>
      <c r="F16" s="23">
        <v>1</v>
      </c>
      <c r="G16" s="24">
        <v>57947</v>
      </c>
      <c r="H16" s="25">
        <v>5395</v>
      </c>
      <c r="I16" s="26">
        <v>557</v>
      </c>
      <c r="J16" s="27">
        <v>1148</v>
      </c>
      <c r="K16" s="28">
        <v>6336</v>
      </c>
      <c r="L16" s="29">
        <v>13436</v>
      </c>
    </row>
    <row r="17" spans="1:12" ht="15" customHeight="1" x14ac:dyDescent="0.2">
      <c r="A17" s="22" t="s">
        <v>55</v>
      </c>
      <c r="B17" s="23" t="s">
        <v>56</v>
      </c>
      <c r="C17" s="23">
        <v>17.96</v>
      </c>
      <c r="D17" s="23">
        <v>4.8</v>
      </c>
      <c r="E17" s="23">
        <v>3</v>
      </c>
      <c r="F17" s="23">
        <v>1</v>
      </c>
      <c r="G17" s="24">
        <v>74810</v>
      </c>
      <c r="H17" s="25">
        <v>6447</v>
      </c>
      <c r="I17" s="26">
        <v>11391</v>
      </c>
      <c r="J17" s="27">
        <v>3516</v>
      </c>
      <c r="K17" s="28">
        <v>2486</v>
      </c>
      <c r="L17" s="29">
        <v>23840</v>
      </c>
    </row>
    <row r="18" spans="1:12" ht="15" customHeight="1" x14ac:dyDescent="0.2">
      <c r="A18" s="22" t="s">
        <v>57</v>
      </c>
      <c r="B18" s="23" t="s">
        <v>58</v>
      </c>
      <c r="C18" s="23">
        <v>17.850000000000001</v>
      </c>
      <c r="D18" s="23">
        <v>6.4</v>
      </c>
      <c r="E18" s="23">
        <v>4</v>
      </c>
      <c r="F18" s="23">
        <v>1</v>
      </c>
      <c r="G18" s="24">
        <v>42696</v>
      </c>
      <c r="H18" s="25">
        <v>1337</v>
      </c>
      <c r="I18" s="26">
        <v>3507</v>
      </c>
      <c r="J18" s="27">
        <v>3099</v>
      </c>
      <c r="K18" s="28">
        <v>301</v>
      </c>
      <c r="L18" s="29">
        <v>8244</v>
      </c>
    </row>
    <row r="19" spans="1:12" ht="15" customHeight="1" x14ac:dyDescent="0.2">
      <c r="A19" s="22" t="s">
        <v>59</v>
      </c>
      <c r="B19" s="23" t="s">
        <v>60</v>
      </c>
      <c r="C19" s="23">
        <v>16.920000000000002</v>
      </c>
      <c r="D19" s="23">
        <v>5.0999999999999996</v>
      </c>
      <c r="E19" s="23">
        <v>2</v>
      </c>
      <c r="F19" s="23">
        <v>1</v>
      </c>
      <c r="G19" s="24">
        <v>74800</v>
      </c>
      <c r="H19" s="25">
        <v>6221</v>
      </c>
      <c r="I19" s="26">
        <v>1789</v>
      </c>
      <c r="J19" s="27">
        <v>3223</v>
      </c>
      <c r="K19" s="28">
        <v>2731</v>
      </c>
      <c r="L19" s="29">
        <v>13964</v>
      </c>
    </row>
    <row r="20" spans="1:12" ht="15" customHeight="1" x14ac:dyDescent="0.2">
      <c r="A20" s="22" t="s">
        <v>61</v>
      </c>
      <c r="B20" s="23" t="s">
        <v>62</v>
      </c>
      <c r="C20" s="23">
        <v>15.95</v>
      </c>
      <c r="D20" s="23">
        <v>6</v>
      </c>
      <c r="E20" s="23">
        <v>2</v>
      </c>
      <c r="F20" s="23">
        <v>1</v>
      </c>
      <c r="G20" s="24">
        <v>14464</v>
      </c>
      <c r="H20" s="25">
        <v>386</v>
      </c>
      <c r="I20" s="26">
        <v>321</v>
      </c>
      <c r="J20" s="27">
        <v>197</v>
      </c>
      <c r="K20" s="28">
        <v>310</v>
      </c>
      <c r="L20" s="29">
        <v>1214</v>
      </c>
    </row>
    <row r="21" spans="1:12" ht="15" customHeight="1" x14ac:dyDescent="0.2">
      <c r="A21" s="22" t="s">
        <v>63</v>
      </c>
      <c r="B21" s="23" t="s">
        <v>64</v>
      </c>
      <c r="C21" s="23">
        <v>15.35</v>
      </c>
      <c r="D21" s="23">
        <v>10</v>
      </c>
      <c r="E21" s="23">
        <v>3</v>
      </c>
      <c r="F21" s="23">
        <v>1</v>
      </c>
      <c r="G21" s="24">
        <v>25100</v>
      </c>
      <c r="H21" s="25">
        <v>928</v>
      </c>
      <c r="I21" s="26">
        <v>981</v>
      </c>
      <c r="J21" s="27">
        <v>1066</v>
      </c>
      <c r="K21" s="28">
        <v>2572</v>
      </c>
      <c r="L21" s="29">
        <v>5547</v>
      </c>
    </row>
    <row r="22" spans="1:12" ht="15" customHeight="1" x14ac:dyDescent="0.2">
      <c r="A22" s="22" t="s">
        <v>65</v>
      </c>
      <c r="B22" s="23" t="s">
        <v>66</v>
      </c>
      <c r="C22" s="23">
        <v>14.24</v>
      </c>
      <c r="D22" s="23">
        <v>4.5</v>
      </c>
      <c r="E22" s="23">
        <v>3</v>
      </c>
      <c r="F22" s="23">
        <v>1</v>
      </c>
      <c r="G22" s="24">
        <v>32335</v>
      </c>
      <c r="H22" s="25">
        <v>1330</v>
      </c>
      <c r="I22" s="26">
        <v>1605</v>
      </c>
      <c r="J22" s="27">
        <v>792</v>
      </c>
      <c r="K22" s="28">
        <v>853</v>
      </c>
      <c r="L22" s="29">
        <v>4580</v>
      </c>
    </row>
    <row r="23" spans="1:12" ht="15" customHeight="1" x14ac:dyDescent="0.2">
      <c r="A23" s="22" t="s">
        <v>67</v>
      </c>
      <c r="B23" s="23" t="s">
        <v>68</v>
      </c>
      <c r="C23" s="23">
        <v>13.57</v>
      </c>
      <c r="D23" s="23">
        <v>4.9000000000000004</v>
      </c>
      <c r="E23" s="23">
        <v>3</v>
      </c>
      <c r="F23" s="23">
        <v>1</v>
      </c>
      <c r="G23" s="24">
        <v>42698</v>
      </c>
      <c r="H23" s="25">
        <v>1855</v>
      </c>
      <c r="I23" s="26">
        <v>998</v>
      </c>
      <c r="J23" s="27">
        <v>1308</v>
      </c>
      <c r="K23" s="28">
        <v>1129</v>
      </c>
      <c r="L23" s="29">
        <v>5290</v>
      </c>
    </row>
    <row r="24" spans="1:12" ht="15" customHeight="1" x14ac:dyDescent="0.2">
      <c r="A24" s="22" t="s">
        <v>69</v>
      </c>
      <c r="B24" s="23" t="s">
        <v>70</v>
      </c>
      <c r="C24" s="23">
        <v>13.53</v>
      </c>
      <c r="D24" s="23">
        <v>4.9000000000000004</v>
      </c>
      <c r="E24" s="23">
        <v>2</v>
      </c>
      <c r="F24" s="23">
        <v>1</v>
      </c>
      <c r="G24" s="24">
        <v>33366</v>
      </c>
      <c r="H24" s="25">
        <v>4274</v>
      </c>
      <c r="I24" s="26">
        <v>1785</v>
      </c>
      <c r="J24" s="27">
        <v>650</v>
      </c>
      <c r="K24" s="28">
        <v>311</v>
      </c>
      <c r="L24" s="29">
        <v>7020</v>
      </c>
    </row>
    <row r="25" spans="1:12" ht="15" customHeight="1" x14ac:dyDescent="0.2">
      <c r="A25" s="22" t="s">
        <v>71</v>
      </c>
      <c r="B25" s="23" t="s">
        <v>72</v>
      </c>
      <c r="C25" s="23">
        <v>13.5</v>
      </c>
      <c r="D25" s="23">
        <v>6</v>
      </c>
      <c r="E25" s="23">
        <v>3</v>
      </c>
      <c r="F25" s="23">
        <v>1</v>
      </c>
      <c r="G25" s="24">
        <v>35889</v>
      </c>
      <c r="H25" s="25">
        <v>2847</v>
      </c>
      <c r="I25" s="26">
        <v>878</v>
      </c>
      <c r="J25" s="27">
        <v>2833</v>
      </c>
      <c r="K25" s="28">
        <v>488</v>
      </c>
      <c r="L25" s="29">
        <v>7046</v>
      </c>
    </row>
    <row r="26" spans="1:12" ht="15" customHeight="1" x14ac:dyDescent="0.2">
      <c r="A26" s="22" t="s">
        <v>73</v>
      </c>
      <c r="B26" s="23" t="s">
        <v>74</v>
      </c>
      <c r="C26" s="23">
        <v>13.06</v>
      </c>
      <c r="D26" s="23">
        <v>4.8</v>
      </c>
      <c r="E26" s="23">
        <v>3</v>
      </c>
      <c r="F26" s="23">
        <v>1</v>
      </c>
      <c r="G26" s="24">
        <v>55699</v>
      </c>
      <c r="H26" s="25">
        <v>2357</v>
      </c>
      <c r="I26" s="26">
        <v>5203</v>
      </c>
      <c r="J26" s="27">
        <v>2357</v>
      </c>
      <c r="K26" s="28">
        <v>1364</v>
      </c>
      <c r="L26" s="29">
        <v>11281</v>
      </c>
    </row>
    <row r="27" spans="1:12" ht="15" customHeight="1" x14ac:dyDescent="0.2">
      <c r="A27" s="22" t="s">
        <v>75</v>
      </c>
      <c r="B27" s="23" t="s">
        <v>76</v>
      </c>
      <c r="C27" s="23">
        <v>12.74</v>
      </c>
      <c r="D27" s="23">
        <v>5.6</v>
      </c>
      <c r="E27" s="23">
        <v>3</v>
      </c>
      <c r="F27" s="23">
        <v>1</v>
      </c>
      <c r="G27" s="24">
        <v>11100</v>
      </c>
      <c r="H27" s="25">
        <v>651</v>
      </c>
      <c r="I27" s="26">
        <v>1262</v>
      </c>
      <c r="J27" s="27">
        <v>1026</v>
      </c>
      <c r="K27" s="28">
        <v>48</v>
      </c>
      <c r="L27" s="29">
        <v>2987</v>
      </c>
    </row>
    <row r="28" spans="1:12" ht="15" customHeight="1" x14ac:dyDescent="0.2">
      <c r="A28" s="22" t="s">
        <v>77</v>
      </c>
      <c r="B28" s="23" t="s">
        <v>78</v>
      </c>
      <c r="C28" s="23">
        <v>12.46</v>
      </c>
      <c r="D28" s="23">
        <v>5.2</v>
      </c>
      <c r="E28" s="23">
        <v>3</v>
      </c>
      <c r="F28" s="23">
        <v>1</v>
      </c>
      <c r="G28" s="24">
        <v>27498</v>
      </c>
      <c r="H28" s="25">
        <v>1659</v>
      </c>
      <c r="I28" s="26">
        <v>3924</v>
      </c>
      <c r="J28" s="27">
        <v>1239</v>
      </c>
      <c r="K28" s="28">
        <v>2492</v>
      </c>
      <c r="L28" s="29">
        <v>9314</v>
      </c>
    </row>
    <row r="29" spans="1:12" ht="15" customHeight="1" x14ac:dyDescent="0.2">
      <c r="A29" s="22" t="s">
        <v>79</v>
      </c>
      <c r="B29" s="23" t="s">
        <v>80</v>
      </c>
      <c r="C29" s="23">
        <v>11.94</v>
      </c>
      <c r="D29" s="23">
        <v>4.9000000000000004</v>
      </c>
      <c r="E29" s="23">
        <v>3</v>
      </c>
      <c r="F29" s="23">
        <v>1</v>
      </c>
      <c r="G29" s="24">
        <v>33269</v>
      </c>
      <c r="H29" s="25">
        <v>5874</v>
      </c>
      <c r="I29" s="26">
        <v>1427</v>
      </c>
      <c r="J29" s="27">
        <v>1658</v>
      </c>
      <c r="K29" s="28">
        <v>980</v>
      </c>
      <c r="L29" s="29">
        <v>9939</v>
      </c>
    </row>
    <row r="30" spans="1:12" ht="15" customHeight="1" x14ac:dyDescent="0.2">
      <c r="A30" s="22" t="s">
        <v>81</v>
      </c>
      <c r="B30" s="23" t="s">
        <v>82</v>
      </c>
      <c r="C30" s="23">
        <v>11.9</v>
      </c>
      <c r="D30" s="23">
        <v>4.9000000000000004</v>
      </c>
      <c r="E30" s="23">
        <v>3</v>
      </c>
      <c r="F30" s="23">
        <v>1</v>
      </c>
      <c r="G30" s="24">
        <v>31527</v>
      </c>
      <c r="H30" s="25">
        <v>1120</v>
      </c>
      <c r="I30" s="26">
        <v>989</v>
      </c>
      <c r="J30" s="27">
        <v>1809</v>
      </c>
      <c r="K30" s="28">
        <v>931</v>
      </c>
      <c r="L30" s="29">
        <v>4849</v>
      </c>
    </row>
    <row r="31" spans="1:12" ht="15" customHeight="1" x14ac:dyDescent="0.2">
      <c r="A31" s="22" t="s">
        <v>83</v>
      </c>
      <c r="B31" s="23" t="s">
        <v>84</v>
      </c>
      <c r="C31" s="23">
        <v>11.7</v>
      </c>
      <c r="D31" s="23">
        <v>6</v>
      </c>
      <c r="E31" s="23">
        <v>4</v>
      </c>
      <c r="F31" s="23">
        <v>1</v>
      </c>
      <c r="G31" s="24">
        <v>30051</v>
      </c>
      <c r="H31" s="25">
        <v>1571</v>
      </c>
      <c r="I31" s="26">
        <v>921</v>
      </c>
      <c r="J31" s="27">
        <v>1772</v>
      </c>
      <c r="K31" s="28">
        <v>489</v>
      </c>
      <c r="L31" s="29">
        <v>4753</v>
      </c>
    </row>
    <row r="32" spans="1:12" ht="15" customHeight="1" x14ac:dyDescent="0.2">
      <c r="A32" s="22" t="s">
        <v>85</v>
      </c>
      <c r="B32" s="23" t="s">
        <v>86</v>
      </c>
      <c r="C32" s="23">
        <v>11.44</v>
      </c>
      <c r="D32" s="23">
        <v>4.5</v>
      </c>
      <c r="E32" s="23">
        <v>4</v>
      </c>
      <c r="F32" s="23">
        <v>1</v>
      </c>
      <c r="G32" s="24">
        <v>33637</v>
      </c>
      <c r="H32" s="25">
        <v>1123</v>
      </c>
      <c r="I32" s="26">
        <v>1050</v>
      </c>
      <c r="J32" s="27">
        <v>2871</v>
      </c>
      <c r="K32" s="28">
        <v>878</v>
      </c>
      <c r="L32" s="29">
        <v>5922</v>
      </c>
    </row>
    <row r="33" spans="1:12" ht="15" customHeight="1" x14ac:dyDescent="0.2">
      <c r="A33" s="22" t="s">
        <v>87</v>
      </c>
      <c r="B33" s="23" t="s">
        <v>88</v>
      </c>
      <c r="C33" s="23">
        <v>10.47</v>
      </c>
      <c r="D33" s="23">
        <v>5.2</v>
      </c>
      <c r="E33" s="23">
        <v>3</v>
      </c>
      <c r="F33" s="23">
        <v>1</v>
      </c>
      <c r="G33" s="24">
        <v>28679</v>
      </c>
      <c r="H33" s="25">
        <v>1526</v>
      </c>
      <c r="I33" s="26">
        <v>1265</v>
      </c>
      <c r="J33" s="27">
        <v>1561</v>
      </c>
      <c r="K33" s="28">
        <v>2083</v>
      </c>
      <c r="L33" s="29">
        <v>6435</v>
      </c>
    </row>
    <row r="34" spans="1:12" ht="15" customHeight="1" x14ac:dyDescent="0.2">
      <c r="A34" s="22" t="s">
        <v>89</v>
      </c>
      <c r="B34" s="23" t="s">
        <v>90</v>
      </c>
      <c r="C34" s="23">
        <v>10.4</v>
      </c>
      <c r="D34" s="23">
        <v>9</v>
      </c>
      <c r="E34" s="23">
        <v>2</v>
      </c>
      <c r="F34" s="23">
        <v>1</v>
      </c>
      <c r="G34" s="24">
        <v>6807</v>
      </c>
      <c r="H34" s="25">
        <v>533</v>
      </c>
      <c r="I34" s="26">
        <v>264</v>
      </c>
      <c r="J34" s="27">
        <v>1082</v>
      </c>
      <c r="K34" s="28">
        <v>243</v>
      </c>
      <c r="L34" s="29">
        <v>2122</v>
      </c>
    </row>
    <row r="35" spans="1:12" ht="15" customHeight="1" x14ac:dyDescent="0.2">
      <c r="A35" s="22" t="s">
        <v>91</v>
      </c>
      <c r="B35" s="23" t="s">
        <v>92</v>
      </c>
      <c r="C35" s="23">
        <v>10.23</v>
      </c>
      <c r="D35" s="23">
        <v>4.8</v>
      </c>
      <c r="E35" s="23">
        <v>3</v>
      </c>
      <c r="F35" s="23">
        <v>1</v>
      </c>
      <c r="G35" s="24">
        <v>57850</v>
      </c>
      <c r="H35" s="25">
        <v>2948</v>
      </c>
      <c r="I35" s="26">
        <v>2115</v>
      </c>
      <c r="J35" s="27">
        <v>1809</v>
      </c>
      <c r="K35" s="28">
        <v>797</v>
      </c>
      <c r="L35" s="29">
        <v>7669</v>
      </c>
    </row>
    <row r="36" spans="1:12" ht="15" customHeight="1" x14ac:dyDescent="0.2">
      <c r="A36" s="22" t="s">
        <v>93</v>
      </c>
      <c r="B36" s="23" t="s">
        <v>94</v>
      </c>
      <c r="C36" s="23">
        <v>9.93</v>
      </c>
      <c r="D36" s="23">
        <v>4.5</v>
      </c>
      <c r="E36" s="23">
        <v>3</v>
      </c>
      <c r="F36" s="23">
        <v>1</v>
      </c>
      <c r="G36" s="24">
        <v>27295</v>
      </c>
      <c r="H36" s="25">
        <v>317</v>
      </c>
      <c r="I36" s="26">
        <v>1356</v>
      </c>
      <c r="J36" s="27">
        <v>708</v>
      </c>
      <c r="K36" s="28">
        <v>1082</v>
      </c>
      <c r="L36" s="29">
        <v>3463</v>
      </c>
    </row>
    <row r="37" spans="1:12" ht="15" customHeight="1" x14ac:dyDescent="0.2">
      <c r="A37" s="22" t="s">
        <v>95</v>
      </c>
      <c r="B37" s="23" t="s">
        <v>96</v>
      </c>
      <c r="C37" s="23">
        <v>9.5</v>
      </c>
      <c r="D37" s="23">
        <v>9</v>
      </c>
      <c r="E37" s="23">
        <v>3</v>
      </c>
      <c r="F37" s="23">
        <v>1</v>
      </c>
      <c r="G37" s="24">
        <v>5939</v>
      </c>
      <c r="H37" s="25">
        <v>162</v>
      </c>
      <c r="I37" s="26">
        <v>319</v>
      </c>
      <c r="J37" s="27">
        <v>345</v>
      </c>
      <c r="K37" s="28">
        <v>334</v>
      </c>
      <c r="L37" s="29">
        <v>1160</v>
      </c>
    </row>
    <row r="38" spans="1:12" ht="15" customHeight="1" x14ac:dyDescent="0.2">
      <c r="A38" s="22" t="s">
        <v>97</v>
      </c>
      <c r="B38" s="23" t="s">
        <v>98</v>
      </c>
      <c r="C38" s="23">
        <v>9.18</v>
      </c>
      <c r="D38" s="23">
        <v>10</v>
      </c>
      <c r="E38" s="23">
        <v>2</v>
      </c>
      <c r="F38" s="23">
        <v>1</v>
      </c>
      <c r="G38" s="24">
        <v>5006</v>
      </c>
      <c r="H38" s="25">
        <v>450</v>
      </c>
      <c r="I38" s="26">
        <v>808</v>
      </c>
      <c r="J38" s="27">
        <v>306</v>
      </c>
      <c r="K38" s="28">
        <v>46</v>
      </c>
      <c r="L38" s="29">
        <v>1610</v>
      </c>
    </row>
    <row r="39" spans="1:12" ht="15" customHeight="1" x14ac:dyDescent="0.2">
      <c r="A39" s="22" t="s">
        <v>99</v>
      </c>
      <c r="B39" s="23" t="s">
        <v>100</v>
      </c>
      <c r="C39" s="23">
        <v>8.92</v>
      </c>
      <c r="D39" s="23">
        <v>4.9000000000000004</v>
      </c>
      <c r="E39" s="23">
        <v>3</v>
      </c>
      <c r="F39" s="23">
        <v>1</v>
      </c>
      <c r="G39" s="24">
        <v>16645</v>
      </c>
      <c r="H39" s="25">
        <v>1808</v>
      </c>
      <c r="I39" s="26">
        <v>562</v>
      </c>
      <c r="J39" s="27">
        <v>503</v>
      </c>
      <c r="K39" s="28">
        <v>925</v>
      </c>
      <c r="L39" s="29">
        <v>3798</v>
      </c>
    </row>
    <row r="40" spans="1:12" ht="15" customHeight="1" x14ac:dyDescent="0.2">
      <c r="A40" s="22" t="s">
        <v>101</v>
      </c>
      <c r="B40" s="23" t="s">
        <v>102</v>
      </c>
      <c r="C40" s="23">
        <v>8.59</v>
      </c>
      <c r="D40" s="23">
        <v>4.7</v>
      </c>
      <c r="E40" s="23">
        <v>2</v>
      </c>
      <c r="F40" s="23">
        <v>1</v>
      </c>
      <c r="G40" s="24">
        <v>25569</v>
      </c>
      <c r="H40" s="25">
        <v>228</v>
      </c>
      <c r="I40" s="26">
        <v>611</v>
      </c>
      <c r="J40" s="27">
        <v>912</v>
      </c>
      <c r="K40" s="28">
        <v>1700</v>
      </c>
      <c r="L40" s="29">
        <v>3451</v>
      </c>
    </row>
    <row r="41" spans="1:12" ht="15" customHeight="1" x14ac:dyDescent="0.2">
      <c r="A41" s="22" t="s">
        <v>103</v>
      </c>
      <c r="B41" s="23" t="s">
        <v>104</v>
      </c>
      <c r="C41" s="23">
        <v>8.1</v>
      </c>
      <c r="D41" s="23">
        <v>10.4</v>
      </c>
      <c r="E41" s="23">
        <v>3</v>
      </c>
      <c r="F41" s="23">
        <v>1</v>
      </c>
      <c r="G41" s="24">
        <v>6354</v>
      </c>
      <c r="H41" s="25">
        <v>252</v>
      </c>
      <c r="I41" s="26">
        <v>333</v>
      </c>
      <c r="J41" s="27">
        <v>423</v>
      </c>
      <c r="K41" s="28">
        <v>895</v>
      </c>
      <c r="L41" s="29">
        <v>1903</v>
      </c>
    </row>
    <row r="42" spans="1:12" ht="15" customHeight="1" x14ac:dyDescent="0.2">
      <c r="A42" s="22" t="s">
        <v>105</v>
      </c>
      <c r="B42" s="23" t="s">
        <v>106</v>
      </c>
      <c r="C42" s="23">
        <v>8.01</v>
      </c>
      <c r="D42" s="23">
        <v>4.9000000000000004</v>
      </c>
      <c r="E42" s="23">
        <v>3</v>
      </c>
      <c r="F42" s="23">
        <v>1</v>
      </c>
      <c r="G42" s="24">
        <v>6183</v>
      </c>
      <c r="H42" s="25">
        <v>160</v>
      </c>
      <c r="I42" s="26">
        <v>234</v>
      </c>
      <c r="J42" s="27">
        <v>88</v>
      </c>
      <c r="K42" s="28">
        <v>85</v>
      </c>
      <c r="L42" s="29">
        <v>567</v>
      </c>
    </row>
    <row r="43" spans="1:12" ht="15" customHeight="1" x14ac:dyDescent="0.2">
      <c r="A43" s="22" t="s">
        <v>107</v>
      </c>
      <c r="B43" s="23" t="s">
        <v>108</v>
      </c>
      <c r="C43" s="23">
        <v>7.86</v>
      </c>
      <c r="D43" s="23">
        <v>5</v>
      </c>
      <c r="E43" s="23">
        <v>3</v>
      </c>
      <c r="F43" s="23">
        <v>1</v>
      </c>
      <c r="G43" s="24">
        <v>29113</v>
      </c>
      <c r="H43" s="25">
        <v>453</v>
      </c>
      <c r="I43" s="26">
        <v>259</v>
      </c>
      <c r="J43" s="27">
        <v>680</v>
      </c>
      <c r="K43" s="28">
        <v>756</v>
      </c>
      <c r="L43" s="29">
        <v>2148</v>
      </c>
    </row>
    <row r="44" spans="1:12" ht="15" customHeight="1" x14ac:dyDescent="0.2">
      <c r="A44" s="22" t="s">
        <v>109</v>
      </c>
      <c r="B44" s="23" t="s">
        <v>110</v>
      </c>
      <c r="C44" s="23">
        <v>7.74</v>
      </c>
      <c r="D44" s="23">
        <v>9</v>
      </c>
      <c r="E44" s="23">
        <v>3</v>
      </c>
      <c r="F44" s="23">
        <v>1</v>
      </c>
      <c r="G44" s="24">
        <v>3018</v>
      </c>
      <c r="H44" s="25">
        <v>92</v>
      </c>
      <c r="I44" s="26">
        <v>111</v>
      </c>
      <c r="J44" s="27">
        <v>78</v>
      </c>
      <c r="K44" s="28">
        <v>84</v>
      </c>
      <c r="L44" s="29">
        <v>365</v>
      </c>
    </row>
    <row r="45" spans="1:12" ht="15" customHeight="1" x14ac:dyDescent="0.2">
      <c r="A45" s="22" t="s">
        <v>111</v>
      </c>
      <c r="B45" s="23" t="s">
        <v>112</v>
      </c>
      <c r="C45" s="23">
        <v>7.62</v>
      </c>
      <c r="D45" s="23">
        <v>5.2</v>
      </c>
      <c r="E45" s="23">
        <v>3</v>
      </c>
      <c r="F45" s="23">
        <v>1</v>
      </c>
      <c r="G45" s="24">
        <v>18300</v>
      </c>
      <c r="H45" s="25">
        <v>622</v>
      </c>
      <c r="I45" s="26">
        <v>814</v>
      </c>
      <c r="J45" s="27">
        <v>850</v>
      </c>
      <c r="K45" s="28">
        <v>113</v>
      </c>
      <c r="L45" s="29">
        <v>2399</v>
      </c>
    </row>
    <row r="46" spans="1:12" ht="15" customHeight="1" x14ac:dyDescent="0.2">
      <c r="A46" s="22" t="s">
        <v>113</v>
      </c>
      <c r="B46" s="23" t="s">
        <v>114</v>
      </c>
      <c r="C46" s="23">
        <v>7.35</v>
      </c>
      <c r="D46" s="23">
        <v>8</v>
      </c>
      <c r="E46" s="23">
        <v>2</v>
      </c>
      <c r="F46" s="23">
        <v>1</v>
      </c>
      <c r="G46" s="24">
        <v>5124</v>
      </c>
      <c r="H46" s="25">
        <v>43</v>
      </c>
      <c r="I46" s="26">
        <v>311</v>
      </c>
      <c r="J46" s="27">
        <v>588</v>
      </c>
      <c r="K46" s="28">
        <v>109</v>
      </c>
      <c r="L46" s="29">
        <v>1051</v>
      </c>
    </row>
    <row r="47" spans="1:12" ht="15" customHeight="1" x14ac:dyDescent="0.2">
      <c r="A47" s="22" t="s">
        <v>115</v>
      </c>
      <c r="B47" s="23" t="s">
        <v>116</v>
      </c>
      <c r="C47" s="23">
        <v>7.14</v>
      </c>
      <c r="D47" s="23">
        <v>10</v>
      </c>
      <c r="E47" s="23">
        <v>2</v>
      </c>
      <c r="F47" s="23">
        <v>1</v>
      </c>
      <c r="G47" s="24">
        <v>6388</v>
      </c>
      <c r="H47" s="25">
        <v>391</v>
      </c>
      <c r="I47" s="26">
        <v>608</v>
      </c>
      <c r="J47" s="27">
        <v>425</v>
      </c>
      <c r="K47" s="28">
        <v>335</v>
      </c>
      <c r="L47" s="29">
        <v>1759</v>
      </c>
    </row>
    <row r="48" spans="1:12" ht="15" customHeight="1" x14ac:dyDescent="0.2">
      <c r="A48" s="22" t="s">
        <v>117</v>
      </c>
      <c r="B48" s="23" t="s">
        <v>118</v>
      </c>
      <c r="C48" s="23">
        <v>6.94</v>
      </c>
      <c r="D48" s="23">
        <v>5</v>
      </c>
      <c r="E48" s="23">
        <v>3</v>
      </c>
      <c r="F48" s="23">
        <v>1</v>
      </c>
      <c r="G48" s="24">
        <v>16301</v>
      </c>
      <c r="H48" s="25">
        <v>427</v>
      </c>
      <c r="I48" s="26">
        <v>1137</v>
      </c>
      <c r="J48" s="27">
        <v>628</v>
      </c>
      <c r="K48" s="28">
        <v>1023</v>
      </c>
      <c r="L48" s="29">
        <v>3215</v>
      </c>
    </row>
    <row r="49" spans="1:12" ht="15" customHeight="1" x14ac:dyDescent="0.2">
      <c r="A49" s="22" t="s">
        <v>119</v>
      </c>
      <c r="B49" s="23" t="s">
        <v>120</v>
      </c>
      <c r="C49" s="23">
        <v>6.89</v>
      </c>
      <c r="D49" s="23">
        <v>9.1999999999999993</v>
      </c>
      <c r="E49" s="23">
        <v>3</v>
      </c>
      <c r="F49" s="23">
        <v>1</v>
      </c>
      <c r="G49" s="24">
        <v>3869</v>
      </c>
      <c r="H49" s="25">
        <v>361</v>
      </c>
      <c r="I49" s="26">
        <v>407</v>
      </c>
      <c r="J49" s="27">
        <v>301</v>
      </c>
      <c r="K49" s="28">
        <v>40</v>
      </c>
      <c r="L49" s="29">
        <v>1109</v>
      </c>
    </row>
    <row r="50" spans="1:12" ht="15" customHeight="1" x14ac:dyDescent="0.2">
      <c r="A50" s="22" t="s">
        <v>121</v>
      </c>
      <c r="B50" s="23" t="s">
        <v>122</v>
      </c>
      <c r="C50" s="23">
        <v>6.69</v>
      </c>
      <c r="D50" s="23">
        <v>4.9000000000000004</v>
      </c>
      <c r="E50" s="23">
        <v>2</v>
      </c>
      <c r="F50" s="23">
        <v>1</v>
      </c>
      <c r="G50" s="24">
        <v>28518</v>
      </c>
      <c r="H50" s="25">
        <v>1439</v>
      </c>
      <c r="I50" s="26">
        <v>2513</v>
      </c>
      <c r="J50" s="27">
        <v>1817</v>
      </c>
      <c r="K50" s="28">
        <v>892</v>
      </c>
      <c r="L50" s="29">
        <v>6661</v>
      </c>
    </row>
    <row r="51" spans="1:12" ht="15" customHeight="1" x14ac:dyDescent="0.2">
      <c r="A51" s="22" t="s">
        <v>123</v>
      </c>
      <c r="B51" s="23" t="s">
        <v>124</v>
      </c>
      <c r="C51" s="23">
        <v>6.61</v>
      </c>
      <c r="D51" s="23">
        <v>4.5</v>
      </c>
      <c r="E51" s="23">
        <v>3</v>
      </c>
      <c r="F51" s="23">
        <v>1</v>
      </c>
      <c r="G51" s="24">
        <v>19734</v>
      </c>
      <c r="H51" s="25">
        <v>1158</v>
      </c>
      <c r="I51" s="26">
        <v>413</v>
      </c>
      <c r="J51" s="27">
        <v>674</v>
      </c>
      <c r="K51" s="28">
        <v>2027</v>
      </c>
      <c r="L51" s="29">
        <v>4272</v>
      </c>
    </row>
    <row r="52" spans="1:12" ht="15" customHeight="1" x14ac:dyDescent="0.2">
      <c r="A52" s="22" t="s">
        <v>125</v>
      </c>
      <c r="B52" s="23" t="s">
        <v>126</v>
      </c>
      <c r="C52" s="23">
        <v>6.44</v>
      </c>
      <c r="D52" s="23">
        <v>10.4</v>
      </c>
      <c r="E52" s="23">
        <v>3</v>
      </c>
      <c r="F52" s="23">
        <v>1</v>
      </c>
      <c r="G52" s="24">
        <v>5425</v>
      </c>
      <c r="H52" s="25">
        <v>277</v>
      </c>
      <c r="I52" s="26">
        <v>551</v>
      </c>
      <c r="J52" s="27">
        <v>434</v>
      </c>
      <c r="K52" s="28">
        <v>1100</v>
      </c>
      <c r="L52" s="29">
        <v>2362</v>
      </c>
    </row>
    <row r="53" spans="1:12" ht="15" customHeight="1" x14ac:dyDescent="0.2">
      <c r="A53" s="22" t="s">
        <v>127</v>
      </c>
      <c r="B53" s="23" t="s">
        <v>128</v>
      </c>
      <c r="C53" s="23">
        <v>6.3</v>
      </c>
      <c r="D53" s="23">
        <v>10.4</v>
      </c>
      <c r="E53" s="23">
        <v>3</v>
      </c>
      <c r="F53" s="23">
        <v>1</v>
      </c>
      <c r="G53" s="24">
        <v>3578</v>
      </c>
      <c r="H53" s="25">
        <v>71</v>
      </c>
      <c r="I53" s="26">
        <v>136</v>
      </c>
      <c r="J53" s="27">
        <v>256</v>
      </c>
      <c r="K53" s="28">
        <v>29</v>
      </c>
      <c r="L53" s="29">
        <v>492</v>
      </c>
    </row>
    <row r="54" spans="1:12" ht="15" customHeight="1" x14ac:dyDescent="0.2">
      <c r="A54" s="22" t="s">
        <v>129</v>
      </c>
      <c r="B54" s="23" t="s">
        <v>130</v>
      </c>
      <c r="C54" s="23">
        <v>6.3</v>
      </c>
      <c r="D54" s="23">
        <v>4.9000000000000004</v>
      </c>
      <c r="E54" s="23">
        <v>2</v>
      </c>
      <c r="F54" s="23">
        <v>1</v>
      </c>
      <c r="G54" s="24">
        <v>22469</v>
      </c>
      <c r="H54" s="25">
        <v>497</v>
      </c>
      <c r="I54" s="26">
        <v>1170</v>
      </c>
      <c r="J54" s="27">
        <v>1356</v>
      </c>
      <c r="K54" s="28">
        <v>2398</v>
      </c>
      <c r="L54" s="29">
        <v>5421</v>
      </c>
    </row>
    <row r="55" spans="1:12" ht="15" customHeight="1" x14ac:dyDescent="0.2">
      <c r="A55" s="22" t="s">
        <v>131</v>
      </c>
      <c r="B55" s="23" t="s">
        <v>132</v>
      </c>
      <c r="C55" s="23">
        <v>6.29</v>
      </c>
      <c r="D55" s="23">
        <v>5.3</v>
      </c>
      <c r="E55" s="23">
        <v>3</v>
      </c>
      <c r="F55" s="23">
        <v>1</v>
      </c>
      <c r="G55" s="24">
        <v>14221</v>
      </c>
      <c r="H55" s="25">
        <v>1419</v>
      </c>
      <c r="I55" s="26">
        <v>1439</v>
      </c>
      <c r="J55" s="27">
        <v>1563</v>
      </c>
      <c r="K55" s="28">
        <v>317</v>
      </c>
      <c r="L55" s="29">
        <v>4738</v>
      </c>
    </row>
    <row r="56" spans="1:12" ht="15" customHeight="1" x14ac:dyDescent="0.2">
      <c r="A56" s="22" t="s">
        <v>133</v>
      </c>
      <c r="B56" s="23" t="s">
        <v>134</v>
      </c>
      <c r="C56" s="23">
        <v>6.08</v>
      </c>
      <c r="D56" s="23">
        <v>4.9000000000000004</v>
      </c>
      <c r="E56" s="23">
        <v>2</v>
      </c>
      <c r="F56" s="23">
        <v>1</v>
      </c>
      <c r="G56" s="24">
        <v>11278</v>
      </c>
      <c r="H56" s="25">
        <v>369</v>
      </c>
      <c r="I56" s="26">
        <v>285</v>
      </c>
      <c r="J56" s="27">
        <v>753</v>
      </c>
      <c r="K56" s="28">
        <v>886</v>
      </c>
      <c r="L56" s="29">
        <v>2293</v>
      </c>
    </row>
    <row r="57" spans="1:12" ht="15" customHeight="1" x14ac:dyDescent="0.2">
      <c r="A57" s="22" t="s">
        <v>135</v>
      </c>
      <c r="B57" s="23" t="s">
        <v>136</v>
      </c>
      <c r="C57" s="23">
        <v>6.06</v>
      </c>
      <c r="D57" s="23">
        <v>4.7</v>
      </c>
      <c r="E57" s="23">
        <v>2</v>
      </c>
      <c r="F57" s="23">
        <v>1</v>
      </c>
      <c r="G57" s="24">
        <v>13894</v>
      </c>
      <c r="H57" s="25">
        <v>568</v>
      </c>
      <c r="I57" s="26">
        <v>831</v>
      </c>
      <c r="J57" s="27">
        <v>885</v>
      </c>
      <c r="K57" s="28">
        <v>151</v>
      </c>
      <c r="L57" s="29">
        <v>2435</v>
      </c>
    </row>
    <row r="58" spans="1:12" ht="15" customHeight="1" x14ac:dyDescent="0.2">
      <c r="A58" s="22" t="s">
        <v>137</v>
      </c>
      <c r="B58" s="23" t="s">
        <v>138</v>
      </c>
      <c r="C58" s="23">
        <v>5.85</v>
      </c>
      <c r="D58" s="23">
        <v>10</v>
      </c>
      <c r="E58" s="23">
        <v>3</v>
      </c>
      <c r="F58" s="23">
        <v>1</v>
      </c>
      <c r="G58" s="24">
        <v>5743</v>
      </c>
      <c r="H58" s="25">
        <v>117</v>
      </c>
      <c r="I58" s="26">
        <v>199</v>
      </c>
      <c r="J58" s="27">
        <v>353</v>
      </c>
      <c r="K58" s="28">
        <v>638</v>
      </c>
      <c r="L58" s="29">
        <v>1307</v>
      </c>
    </row>
    <row r="59" spans="1:12" ht="15" customHeight="1" x14ac:dyDescent="0.2">
      <c r="A59" s="22" t="s">
        <v>139</v>
      </c>
      <c r="B59" s="23" t="s">
        <v>140</v>
      </c>
      <c r="C59" s="23">
        <v>5.79</v>
      </c>
      <c r="D59" s="23">
        <v>8.8000000000000007</v>
      </c>
      <c r="E59" s="23">
        <v>3</v>
      </c>
      <c r="F59" s="23">
        <v>1</v>
      </c>
      <c r="G59" s="24">
        <v>16116</v>
      </c>
      <c r="H59" s="25">
        <v>855</v>
      </c>
      <c r="I59" s="26">
        <v>575</v>
      </c>
      <c r="J59" s="27">
        <v>754</v>
      </c>
      <c r="K59" s="28">
        <v>538</v>
      </c>
      <c r="L59" s="29">
        <v>2722</v>
      </c>
    </row>
    <row r="60" spans="1:12" ht="15" customHeight="1" x14ac:dyDescent="0.2">
      <c r="A60" s="22" t="s">
        <v>141</v>
      </c>
      <c r="B60" s="23" t="s">
        <v>142</v>
      </c>
      <c r="C60" s="23">
        <v>5.45</v>
      </c>
      <c r="D60" s="23">
        <v>10</v>
      </c>
      <c r="E60" s="23">
        <v>3</v>
      </c>
      <c r="F60" s="23">
        <v>1</v>
      </c>
      <c r="G60" s="24">
        <v>6763</v>
      </c>
      <c r="H60" s="25">
        <v>1017</v>
      </c>
      <c r="I60" s="26">
        <v>506</v>
      </c>
      <c r="J60" s="27">
        <v>1071</v>
      </c>
      <c r="K60" s="28">
        <v>554</v>
      </c>
      <c r="L60" s="29">
        <v>3148</v>
      </c>
    </row>
    <row r="61" spans="1:12" ht="15" customHeight="1" x14ac:dyDescent="0.2">
      <c r="A61" s="22" t="s">
        <v>143</v>
      </c>
      <c r="B61" s="23" t="s">
        <v>144</v>
      </c>
      <c r="C61" s="23">
        <v>5.37</v>
      </c>
      <c r="D61" s="23">
        <v>4.9000000000000004</v>
      </c>
      <c r="E61" s="23">
        <v>3</v>
      </c>
      <c r="F61" s="23">
        <v>1</v>
      </c>
      <c r="G61" s="24">
        <v>15820</v>
      </c>
      <c r="H61" s="25">
        <v>170</v>
      </c>
      <c r="I61" s="26">
        <v>1039</v>
      </c>
      <c r="J61" s="27">
        <v>481</v>
      </c>
      <c r="K61" s="28">
        <v>646</v>
      </c>
      <c r="L61" s="29">
        <v>2336</v>
      </c>
    </row>
    <row r="62" spans="1:12" ht="15" customHeight="1" x14ac:dyDescent="0.2">
      <c r="A62" s="22" t="s">
        <v>145</v>
      </c>
      <c r="B62" s="23" t="s">
        <v>146</v>
      </c>
      <c r="C62" s="23">
        <v>5.26</v>
      </c>
      <c r="D62" s="23">
        <v>10</v>
      </c>
      <c r="E62" s="23">
        <v>2</v>
      </c>
      <c r="F62" s="23">
        <v>1</v>
      </c>
      <c r="G62" s="24">
        <v>588</v>
      </c>
      <c r="H62" s="25">
        <v>10</v>
      </c>
      <c r="I62" s="26">
        <v>15</v>
      </c>
      <c r="J62" s="27">
        <v>67</v>
      </c>
      <c r="K62" s="28">
        <v>18</v>
      </c>
      <c r="L62" s="29">
        <v>110</v>
      </c>
    </row>
    <row r="63" spans="1:12" ht="15" customHeight="1" x14ac:dyDescent="0.2">
      <c r="A63" s="22" t="s">
        <v>147</v>
      </c>
      <c r="B63" s="23" t="s">
        <v>148</v>
      </c>
      <c r="C63" s="23">
        <v>4.75</v>
      </c>
      <c r="D63" s="23">
        <v>10</v>
      </c>
      <c r="E63" s="23">
        <v>3</v>
      </c>
      <c r="F63" s="23">
        <v>1</v>
      </c>
      <c r="G63" s="24">
        <v>531</v>
      </c>
      <c r="H63" s="25">
        <v>25</v>
      </c>
      <c r="I63" s="26">
        <v>48</v>
      </c>
      <c r="J63" s="27">
        <v>30</v>
      </c>
      <c r="K63" s="28">
        <v>43</v>
      </c>
      <c r="L63" s="29">
        <v>146</v>
      </c>
    </row>
    <row r="64" spans="1:12" ht="15" customHeight="1" x14ac:dyDescent="0.2">
      <c r="A64" s="22" t="s">
        <v>149</v>
      </c>
      <c r="B64" s="23" t="s">
        <v>150</v>
      </c>
      <c r="C64" s="23">
        <v>4.72</v>
      </c>
      <c r="D64" s="23">
        <v>4.9000000000000004</v>
      </c>
      <c r="E64" s="23">
        <v>3</v>
      </c>
      <c r="F64" s="23">
        <v>1</v>
      </c>
      <c r="G64" s="24">
        <v>17220</v>
      </c>
      <c r="H64" s="25">
        <v>2517</v>
      </c>
      <c r="I64" s="26">
        <v>1781</v>
      </c>
      <c r="J64" s="27">
        <v>1129</v>
      </c>
      <c r="K64" s="28">
        <v>1520</v>
      </c>
      <c r="L64" s="29">
        <v>6947</v>
      </c>
    </row>
    <row r="65" spans="1:12" ht="15" customHeight="1" x14ac:dyDescent="0.2">
      <c r="A65" s="22" t="s">
        <v>151</v>
      </c>
      <c r="B65" s="23" t="s">
        <v>152</v>
      </c>
      <c r="C65" s="23">
        <v>4.68</v>
      </c>
      <c r="D65" s="23">
        <v>10</v>
      </c>
      <c r="E65" s="23">
        <v>2</v>
      </c>
      <c r="F65" s="23">
        <v>1</v>
      </c>
      <c r="G65" s="24">
        <v>4713</v>
      </c>
      <c r="H65" s="25">
        <v>476</v>
      </c>
      <c r="I65" s="26">
        <v>154</v>
      </c>
      <c r="J65" s="27">
        <v>175</v>
      </c>
      <c r="K65" s="28">
        <v>215</v>
      </c>
      <c r="L65" s="29">
        <v>1020</v>
      </c>
    </row>
    <row r="66" spans="1:12" ht="15" customHeight="1" x14ac:dyDescent="0.2">
      <c r="A66" s="22" t="s">
        <v>153</v>
      </c>
      <c r="B66" s="23" t="s">
        <v>154</v>
      </c>
      <c r="C66" s="23">
        <v>4.62</v>
      </c>
      <c r="D66" s="23">
        <v>4.9000000000000004</v>
      </c>
      <c r="E66" s="23">
        <v>1</v>
      </c>
      <c r="F66" s="23">
        <v>1</v>
      </c>
      <c r="G66" s="24">
        <v>0</v>
      </c>
      <c r="H66" s="25">
        <v>0</v>
      </c>
      <c r="I66" s="26">
        <v>0</v>
      </c>
      <c r="J66" s="27">
        <v>0</v>
      </c>
      <c r="K66" s="28">
        <v>0</v>
      </c>
      <c r="L66" s="29">
        <v>0</v>
      </c>
    </row>
    <row r="67" spans="1:12" ht="15" customHeight="1" x14ac:dyDescent="0.2">
      <c r="A67" s="22" t="s">
        <v>155</v>
      </c>
      <c r="B67" s="23" t="s">
        <v>156</v>
      </c>
      <c r="C67" s="23">
        <v>4.3899999999999997</v>
      </c>
      <c r="D67" s="23">
        <v>10</v>
      </c>
      <c r="E67" s="23">
        <v>3</v>
      </c>
      <c r="F67" s="23">
        <v>1</v>
      </c>
      <c r="G67" s="24">
        <v>292</v>
      </c>
      <c r="H67" s="25">
        <v>11</v>
      </c>
      <c r="I67" s="26">
        <v>34</v>
      </c>
      <c r="J67" s="27">
        <v>12</v>
      </c>
      <c r="K67" s="28">
        <v>43</v>
      </c>
      <c r="L67" s="29">
        <v>100</v>
      </c>
    </row>
    <row r="68" spans="1:12" ht="15" customHeight="1" x14ac:dyDescent="0.2">
      <c r="A68" s="22" t="s">
        <v>157</v>
      </c>
      <c r="B68" s="23" t="s">
        <v>158</v>
      </c>
      <c r="C68" s="23">
        <v>4.34</v>
      </c>
      <c r="D68" s="23">
        <v>5.0999999999999996</v>
      </c>
      <c r="E68" s="23">
        <v>2</v>
      </c>
      <c r="F68" s="23">
        <v>1</v>
      </c>
      <c r="G68" s="24">
        <v>15265</v>
      </c>
      <c r="H68" s="25">
        <v>407</v>
      </c>
      <c r="I68" s="26">
        <v>463</v>
      </c>
      <c r="J68" s="27">
        <v>215</v>
      </c>
      <c r="K68" s="28">
        <v>1844</v>
      </c>
      <c r="L68" s="29">
        <v>2929</v>
      </c>
    </row>
    <row r="69" spans="1:12" ht="15" customHeight="1" x14ac:dyDescent="0.2">
      <c r="A69" s="22" t="s">
        <v>159</v>
      </c>
      <c r="B69" s="23" t="s">
        <v>160</v>
      </c>
      <c r="C69" s="23">
        <v>4.18</v>
      </c>
      <c r="D69" s="23">
        <v>4.9000000000000004</v>
      </c>
      <c r="E69" s="23">
        <v>3</v>
      </c>
      <c r="F69" s="23">
        <v>1</v>
      </c>
      <c r="G69" s="24">
        <v>10017</v>
      </c>
      <c r="H69" s="25">
        <v>270</v>
      </c>
      <c r="I69" s="26">
        <v>330</v>
      </c>
      <c r="J69" s="27">
        <v>476</v>
      </c>
      <c r="K69" s="28">
        <v>216</v>
      </c>
      <c r="L69" s="29">
        <v>1292</v>
      </c>
    </row>
    <row r="70" spans="1:12" ht="15" customHeight="1" x14ac:dyDescent="0.2">
      <c r="A70" s="22" t="s">
        <v>161</v>
      </c>
      <c r="B70" s="23" t="s">
        <v>162</v>
      </c>
      <c r="C70" s="23">
        <v>3.86</v>
      </c>
      <c r="D70" s="23">
        <v>4.4000000000000004</v>
      </c>
      <c r="E70" s="23">
        <v>2</v>
      </c>
      <c r="F70" s="23">
        <v>1</v>
      </c>
      <c r="G70" s="24">
        <v>10557</v>
      </c>
      <c r="H70" s="25">
        <v>61</v>
      </c>
      <c r="I70" s="26">
        <v>159</v>
      </c>
      <c r="J70" s="27">
        <v>88</v>
      </c>
      <c r="K70" s="28">
        <v>28</v>
      </c>
      <c r="L70" s="29">
        <v>336</v>
      </c>
    </row>
    <row r="71" spans="1:12" ht="15" customHeight="1" x14ac:dyDescent="0.2">
      <c r="A71" s="22" t="s">
        <v>163</v>
      </c>
      <c r="B71" s="23" t="s">
        <v>164</v>
      </c>
      <c r="C71" s="23">
        <v>3.68</v>
      </c>
      <c r="D71" s="23">
        <v>10</v>
      </c>
      <c r="E71" s="23">
        <v>2</v>
      </c>
      <c r="F71" s="23">
        <v>1</v>
      </c>
      <c r="G71" s="24">
        <v>1129</v>
      </c>
      <c r="H71" s="25">
        <v>55</v>
      </c>
      <c r="I71" s="26">
        <v>121</v>
      </c>
      <c r="J71" s="27">
        <v>39</v>
      </c>
      <c r="K71" s="28">
        <v>104</v>
      </c>
      <c r="L71" s="29">
        <v>319</v>
      </c>
    </row>
    <row r="72" spans="1:12" ht="15" customHeight="1" x14ac:dyDescent="0.2">
      <c r="A72" s="22" t="s">
        <v>165</v>
      </c>
      <c r="B72" s="23" t="s">
        <v>166</v>
      </c>
      <c r="C72" s="23">
        <v>3.64</v>
      </c>
      <c r="D72" s="23">
        <v>11.2</v>
      </c>
      <c r="E72" s="23">
        <v>2</v>
      </c>
      <c r="F72" s="23">
        <v>1</v>
      </c>
      <c r="G72" s="24">
        <v>869</v>
      </c>
      <c r="H72" s="25">
        <v>32</v>
      </c>
      <c r="I72" s="26">
        <v>24</v>
      </c>
      <c r="J72" s="27">
        <v>44</v>
      </c>
      <c r="K72" s="28">
        <v>56</v>
      </c>
      <c r="L72" s="29">
        <v>156</v>
      </c>
    </row>
    <row r="73" spans="1:12" ht="15" customHeight="1" x14ac:dyDescent="0.2">
      <c r="A73" s="22" t="s">
        <v>167</v>
      </c>
      <c r="B73" s="23" t="s">
        <v>168</v>
      </c>
      <c r="C73" s="23">
        <v>3.61</v>
      </c>
      <c r="D73" s="23">
        <v>11.2</v>
      </c>
      <c r="E73" s="23">
        <v>2</v>
      </c>
      <c r="F73" s="23">
        <v>1</v>
      </c>
      <c r="G73" s="24">
        <v>873</v>
      </c>
      <c r="H73" s="25">
        <v>26</v>
      </c>
      <c r="I73" s="26">
        <v>19</v>
      </c>
      <c r="J73" s="27">
        <v>4</v>
      </c>
      <c r="K73" s="28">
        <v>14</v>
      </c>
      <c r="L73" s="29">
        <v>63</v>
      </c>
    </row>
    <row r="74" spans="1:12" ht="15" customHeight="1" x14ac:dyDescent="0.2">
      <c r="A74" s="22" t="s">
        <v>169</v>
      </c>
      <c r="B74" s="23" t="s">
        <v>170</v>
      </c>
      <c r="C74" s="23">
        <v>3.48</v>
      </c>
      <c r="D74" s="23">
        <v>4.7</v>
      </c>
      <c r="E74" s="23">
        <v>2</v>
      </c>
      <c r="F74" s="23">
        <v>1</v>
      </c>
      <c r="G74" s="24">
        <v>11518</v>
      </c>
      <c r="H74" s="25">
        <v>793</v>
      </c>
      <c r="I74" s="26">
        <v>97</v>
      </c>
      <c r="J74" s="27">
        <v>1147</v>
      </c>
      <c r="K74" s="28">
        <v>607</v>
      </c>
      <c r="L74" s="29">
        <v>2644</v>
      </c>
    </row>
    <row r="75" spans="1:12" ht="15" customHeight="1" x14ac:dyDescent="0.2">
      <c r="A75" s="22" t="s">
        <v>171</v>
      </c>
      <c r="B75" s="23" t="s">
        <v>172</v>
      </c>
      <c r="C75" s="23">
        <v>2.0699999999999998</v>
      </c>
      <c r="D75" s="23">
        <v>4.9000000000000004</v>
      </c>
      <c r="E75" s="23">
        <v>2</v>
      </c>
      <c r="F75" s="23">
        <v>1</v>
      </c>
      <c r="G75" s="24">
        <v>0</v>
      </c>
      <c r="H75" s="25">
        <v>0</v>
      </c>
      <c r="I75" s="26">
        <v>0</v>
      </c>
      <c r="J75" s="27">
        <v>0</v>
      </c>
      <c r="K75" s="28">
        <v>0</v>
      </c>
      <c r="L75" s="29">
        <v>0</v>
      </c>
    </row>
    <row r="76" spans="1:12" ht="15" customHeight="1" x14ac:dyDescent="0.2">
      <c r="A76" s="22" t="s">
        <v>173</v>
      </c>
      <c r="B76" s="23" t="s">
        <v>174</v>
      </c>
      <c r="C76" s="23">
        <v>1.24</v>
      </c>
      <c r="D76" s="23">
        <v>4.3</v>
      </c>
      <c r="E76" s="23">
        <v>1</v>
      </c>
      <c r="F76" s="23">
        <v>1</v>
      </c>
      <c r="G76" s="24">
        <v>3586</v>
      </c>
      <c r="H76" s="25">
        <v>160</v>
      </c>
      <c r="I76" s="26">
        <v>24</v>
      </c>
      <c r="J76" s="27">
        <v>117</v>
      </c>
      <c r="K76" s="28">
        <v>134</v>
      </c>
      <c r="L76" s="29">
        <v>435</v>
      </c>
    </row>
    <row r="77" spans="1:12" ht="15" customHeight="1" x14ac:dyDescent="0.2">
      <c r="A77" s="22" t="s">
        <v>175</v>
      </c>
      <c r="B77" s="23" t="s">
        <v>176</v>
      </c>
      <c r="C77" s="23">
        <v>1.1100000000000001</v>
      </c>
      <c r="D77" s="23">
        <v>10</v>
      </c>
      <c r="E77" s="23">
        <v>2</v>
      </c>
      <c r="F77" s="23">
        <v>1</v>
      </c>
      <c r="G77" s="24">
        <v>0</v>
      </c>
      <c r="H77" s="25">
        <v>0</v>
      </c>
      <c r="I77" s="26">
        <v>0</v>
      </c>
      <c r="J77" s="27">
        <v>0</v>
      </c>
      <c r="K77" s="28">
        <v>0</v>
      </c>
      <c r="L77" s="29">
        <v>0</v>
      </c>
    </row>
    <row r="78" spans="1:12" ht="15" customHeight="1" x14ac:dyDescent="0.2">
      <c r="A78" s="22" t="s">
        <v>177</v>
      </c>
      <c r="B78" s="23" t="s">
        <v>178</v>
      </c>
      <c r="C78" s="23">
        <v>0.92</v>
      </c>
      <c r="D78" s="23">
        <v>10</v>
      </c>
      <c r="E78" s="23">
        <v>2</v>
      </c>
      <c r="F78" s="23">
        <v>1</v>
      </c>
      <c r="G78" s="24">
        <v>0</v>
      </c>
      <c r="H78" s="25">
        <v>0</v>
      </c>
      <c r="I78" s="26">
        <v>0</v>
      </c>
      <c r="J78" s="27">
        <v>0</v>
      </c>
      <c r="K78" s="28">
        <v>0</v>
      </c>
      <c r="L78" s="29">
        <v>0</v>
      </c>
    </row>
    <row r="79" spans="1:12" ht="15" customHeight="1" x14ac:dyDescent="0.2">
      <c r="A79" s="22" t="s">
        <v>179</v>
      </c>
      <c r="B79" s="23" t="s">
        <v>180</v>
      </c>
      <c r="C79" s="23">
        <v>0.56000000000000005</v>
      </c>
      <c r="D79" s="23">
        <v>10</v>
      </c>
      <c r="E79" s="23">
        <v>3</v>
      </c>
      <c r="F79" s="23">
        <v>1</v>
      </c>
      <c r="G79" s="24">
        <v>0</v>
      </c>
      <c r="H79" s="25">
        <v>0</v>
      </c>
      <c r="I79" s="26">
        <v>0</v>
      </c>
      <c r="J79" s="27">
        <v>0</v>
      </c>
      <c r="K79" s="28">
        <v>0</v>
      </c>
      <c r="L79" s="29">
        <v>0</v>
      </c>
    </row>
    <row r="80" spans="1:12" ht="15" customHeight="1" x14ac:dyDescent="0.2">
      <c r="A80" s="22" t="s">
        <v>181</v>
      </c>
      <c r="B80" s="23" t="s">
        <v>182</v>
      </c>
      <c r="C80" s="23">
        <v>0.55000000000000004</v>
      </c>
      <c r="D80" s="23">
        <v>4.5</v>
      </c>
      <c r="E80" s="23">
        <v>3</v>
      </c>
      <c r="F80" s="23">
        <v>1</v>
      </c>
      <c r="G80" s="24">
        <v>0</v>
      </c>
      <c r="H80" s="25">
        <v>0</v>
      </c>
      <c r="I80" s="26">
        <v>0</v>
      </c>
      <c r="J80" s="27">
        <v>0</v>
      </c>
      <c r="K80" s="28">
        <v>0</v>
      </c>
      <c r="L80" s="29">
        <v>0</v>
      </c>
    </row>
    <row r="81" spans="1:12" ht="15" customHeight="1" x14ac:dyDescent="0.2">
      <c r="A81" s="22" t="s">
        <v>183</v>
      </c>
      <c r="B81" s="23" t="s">
        <v>184</v>
      </c>
      <c r="C81" s="23">
        <v>0</v>
      </c>
      <c r="D81" s="23">
        <v>6.1</v>
      </c>
      <c r="E81" s="23">
        <v>2</v>
      </c>
      <c r="F81" s="23">
        <v>1</v>
      </c>
      <c r="G81" s="24">
        <v>0</v>
      </c>
      <c r="H81" s="25">
        <v>0</v>
      </c>
      <c r="I81" s="26">
        <v>0</v>
      </c>
      <c r="J81" s="27">
        <v>0</v>
      </c>
      <c r="K81" s="28">
        <v>0</v>
      </c>
      <c r="L81" s="29">
        <v>0</v>
      </c>
    </row>
    <row r="82" spans="1:12" ht="15" customHeight="1" x14ac:dyDescent="0.2">
      <c r="A82" s="15" t="s">
        <v>185</v>
      </c>
      <c r="B82" s="16" t="s">
        <v>186</v>
      </c>
      <c r="C82" s="35">
        <f>_xlfn.XLOOKUP('2016 Ihlamur'!A82,Veri_Skor!A:A,Veri_Skor!S:S,"-",0)</f>
        <v>5.0000000000000009</v>
      </c>
      <c r="D82" s="36">
        <v>4.5999999999999996</v>
      </c>
      <c r="E82" s="36">
        <v>2</v>
      </c>
      <c r="F82" s="36">
        <v>1</v>
      </c>
      <c r="G82" s="24">
        <v>1</v>
      </c>
      <c r="H82" s="25"/>
      <c r="I82" s="26"/>
      <c r="J82" s="27"/>
      <c r="K82" s="28"/>
      <c r="L82" s="29">
        <v>0</v>
      </c>
    </row>
    <row r="83" spans="1:12" ht="15" customHeight="1" x14ac:dyDescent="0.2">
      <c r="A83" s="15" t="s">
        <v>188</v>
      </c>
      <c r="B83" s="16" t="s">
        <v>189</v>
      </c>
      <c r="C83" s="35">
        <f>_xlfn.XLOOKUP('2016 Ihlamur'!A83,Veri_Skor!A:A,Veri_Skor!S:S,"-",0)</f>
        <v>5.0000000000000009</v>
      </c>
      <c r="D83" s="36">
        <v>4.5999999999999996</v>
      </c>
      <c r="E83" s="36">
        <v>2</v>
      </c>
      <c r="F83" s="36">
        <v>1</v>
      </c>
      <c r="G83" s="24">
        <v>1</v>
      </c>
      <c r="H83" s="25"/>
      <c r="I83" s="26"/>
      <c r="J83" s="27"/>
      <c r="K83" s="28"/>
      <c r="L83" s="29">
        <v>0</v>
      </c>
    </row>
    <row r="84" spans="1:12" ht="15" customHeight="1" x14ac:dyDescent="0.2">
      <c r="B84" s="30" t="s">
        <v>6</v>
      </c>
      <c r="G84" s="31">
        <f t="shared" ref="G84:L84" si="0">SUM(F3:F81)</f>
        <v>79</v>
      </c>
      <c r="H84" s="31">
        <f t="shared" si="0"/>
        <v>2656547</v>
      </c>
      <c r="I84" s="31">
        <f t="shared" si="0"/>
        <v>131319</v>
      </c>
      <c r="J84" s="31">
        <f t="shared" si="0"/>
        <v>116637</v>
      </c>
      <c r="K84" s="31">
        <f t="shared" si="0"/>
        <v>122136</v>
      </c>
      <c r="L84" s="31">
        <f t="shared" si="0"/>
        <v>140712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4"/>
  <sheetViews>
    <sheetView topLeftCell="A53" zoomScaleNormal="100" workbookViewId="0">
      <selection activeCell="A82" sqref="A82:L83"/>
    </sheetView>
  </sheetViews>
  <sheetFormatPr baseColWidth="10" defaultColWidth="8.6640625" defaultRowHeight="15" x14ac:dyDescent="0.2"/>
  <cols>
    <col min="1" max="1" width="15" customWidth="1"/>
    <col min="2" max="3" width="12" customWidth="1"/>
    <col min="4" max="5" width="11" customWidth="1"/>
    <col min="6" max="6" width="14" customWidth="1"/>
    <col min="7" max="10" width="12" customWidth="1"/>
    <col min="11" max="11" width="14" customWidth="1"/>
  </cols>
  <sheetData>
    <row r="1" spans="1:12" ht="3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4.75" customHeight="1" x14ac:dyDescent="0.2">
      <c r="A2" s="20" t="s">
        <v>7</v>
      </c>
      <c r="B2" s="21" t="s">
        <v>8</v>
      </c>
      <c r="C2" s="21" t="s">
        <v>20</v>
      </c>
      <c r="D2" s="21" t="s">
        <v>10</v>
      </c>
      <c r="E2" s="21" t="s">
        <v>21</v>
      </c>
      <c r="F2" s="21" t="s">
        <v>23</v>
      </c>
      <c r="G2" s="21" t="s">
        <v>190</v>
      </c>
      <c r="H2" s="21" t="s">
        <v>191</v>
      </c>
      <c r="I2" s="21" t="s">
        <v>192</v>
      </c>
      <c r="J2" s="21" t="s">
        <v>193</v>
      </c>
      <c r="K2" s="21" t="s">
        <v>194</v>
      </c>
      <c r="L2" s="21" t="s">
        <v>195</v>
      </c>
    </row>
    <row r="3" spans="1:12" ht="15" customHeight="1" x14ac:dyDescent="0.2">
      <c r="A3" s="22" t="s">
        <v>25</v>
      </c>
      <c r="B3" s="23" t="s">
        <v>26</v>
      </c>
      <c r="C3" s="23">
        <v>66.47</v>
      </c>
      <c r="D3" s="23">
        <v>4.8</v>
      </c>
      <c r="E3" s="23">
        <v>4</v>
      </c>
      <c r="F3" s="23">
        <v>1</v>
      </c>
      <c r="G3" s="24">
        <v>348723</v>
      </c>
      <c r="H3" s="25">
        <v>13857</v>
      </c>
      <c r="I3" s="26">
        <v>11212</v>
      </c>
      <c r="J3" s="27">
        <v>17076</v>
      </c>
      <c r="K3" s="28">
        <v>10783</v>
      </c>
      <c r="L3" s="29">
        <v>52928</v>
      </c>
    </row>
    <row r="4" spans="1:12" ht="15" customHeight="1" x14ac:dyDescent="0.2">
      <c r="A4" s="22" t="s">
        <v>29</v>
      </c>
      <c r="B4" s="23" t="s">
        <v>30</v>
      </c>
      <c r="C4" s="23">
        <v>62.65</v>
      </c>
      <c r="D4" s="23">
        <v>5.6</v>
      </c>
      <c r="E4" s="23">
        <v>4</v>
      </c>
      <c r="F4" s="23">
        <v>1</v>
      </c>
      <c r="G4" s="24">
        <v>107616</v>
      </c>
      <c r="H4" s="25">
        <v>2456</v>
      </c>
      <c r="I4" s="26">
        <v>2979</v>
      </c>
      <c r="J4" s="27">
        <v>5301</v>
      </c>
      <c r="K4" s="28">
        <v>6965</v>
      </c>
      <c r="L4" s="29">
        <v>17701</v>
      </c>
    </row>
    <row r="5" spans="1:12" ht="15" customHeight="1" x14ac:dyDescent="0.2">
      <c r="A5" s="22" t="s">
        <v>31</v>
      </c>
      <c r="B5" s="23" t="s">
        <v>32</v>
      </c>
      <c r="C5" s="23">
        <v>53.95</v>
      </c>
      <c r="D5" s="23">
        <v>4.9000000000000004</v>
      </c>
      <c r="E5" s="23">
        <v>4</v>
      </c>
      <c r="F5" s="23">
        <v>1</v>
      </c>
      <c r="G5" s="24">
        <v>147194</v>
      </c>
      <c r="H5" s="25">
        <v>14915</v>
      </c>
      <c r="I5" s="26">
        <v>13712</v>
      </c>
      <c r="J5" s="27">
        <v>11230</v>
      </c>
      <c r="K5" s="28">
        <v>2647</v>
      </c>
      <c r="L5" s="29">
        <v>42504</v>
      </c>
    </row>
    <row r="6" spans="1:12" ht="15" customHeight="1" x14ac:dyDescent="0.2">
      <c r="A6" s="22" t="s">
        <v>33</v>
      </c>
      <c r="B6" s="23" t="s">
        <v>34</v>
      </c>
      <c r="C6" s="23">
        <v>50.77</v>
      </c>
      <c r="D6" s="23">
        <v>4.5</v>
      </c>
      <c r="E6" s="23">
        <v>3</v>
      </c>
      <c r="F6" s="23">
        <v>1</v>
      </c>
      <c r="G6" s="24">
        <v>126564</v>
      </c>
      <c r="H6" s="25">
        <v>6411</v>
      </c>
      <c r="I6" s="26">
        <v>8562</v>
      </c>
      <c r="J6" s="27">
        <v>7438</v>
      </c>
      <c r="K6" s="28">
        <v>6550</v>
      </c>
      <c r="L6" s="29">
        <v>28961</v>
      </c>
    </row>
    <row r="7" spans="1:12" ht="15" customHeight="1" x14ac:dyDescent="0.2">
      <c r="A7" s="22" t="s">
        <v>35</v>
      </c>
      <c r="B7" s="23" t="s">
        <v>36</v>
      </c>
      <c r="C7" s="23">
        <v>47.73</v>
      </c>
      <c r="D7" s="23">
        <v>4.9000000000000004</v>
      </c>
      <c r="E7" s="23">
        <v>3</v>
      </c>
      <c r="F7" s="23">
        <v>1</v>
      </c>
      <c r="G7" s="24">
        <v>133104</v>
      </c>
      <c r="H7" s="25">
        <v>7796</v>
      </c>
      <c r="I7" s="26">
        <v>6834</v>
      </c>
      <c r="J7" s="27">
        <v>4955</v>
      </c>
      <c r="K7" s="28">
        <v>2933</v>
      </c>
      <c r="L7" s="29">
        <v>22518</v>
      </c>
    </row>
    <row r="8" spans="1:12" ht="15" customHeight="1" x14ac:dyDescent="0.2">
      <c r="A8" s="22" t="s">
        <v>37</v>
      </c>
      <c r="B8" s="23" t="s">
        <v>38</v>
      </c>
      <c r="C8" s="23">
        <v>32.549999999999997</v>
      </c>
      <c r="D8" s="23">
        <v>4.7</v>
      </c>
      <c r="E8" s="23">
        <v>4</v>
      </c>
      <c r="F8" s="23">
        <v>1</v>
      </c>
      <c r="G8" s="24">
        <v>108865</v>
      </c>
      <c r="H8" s="25">
        <v>2399</v>
      </c>
      <c r="I8" s="26">
        <v>5691</v>
      </c>
      <c r="J8" s="27">
        <v>3961</v>
      </c>
      <c r="K8" s="28">
        <v>2511</v>
      </c>
      <c r="L8" s="29">
        <v>14562</v>
      </c>
    </row>
    <row r="9" spans="1:12" ht="15" customHeight="1" x14ac:dyDescent="0.2">
      <c r="A9" s="22" t="s">
        <v>39</v>
      </c>
      <c r="B9" s="23" t="s">
        <v>40</v>
      </c>
      <c r="C9" s="23">
        <v>31.7</v>
      </c>
      <c r="D9" s="23">
        <v>5.0999999999999996</v>
      </c>
      <c r="E9" s="23">
        <v>3</v>
      </c>
      <c r="F9" s="23">
        <v>1</v>
      </c>
      <c r="G9" s="24">
        <v>101588</v>
      </c>
      <c r="H9" s="25">
        <v>3424</v>
      </c>
      <c r="I9" s="26">
        <v>4957</v>
      </c>
      <c r="J9" s="27">
        <v>12706</v>
      </c>
      <c r="K9" s="28">
        <v>10115</v>
      </c>
      <c r="L9" s="29">
        <v>31202</v>
      </c>
    </row>
    <row r="10" spans="1:12" ht="15" customHeight="1" x14ac:dyDescent="0.2">
      <c r="A10" s="22" t="s">
        <v>41</v>
      </c>
      <c r="B10" s="23" t="s">
        <v>42</v>
      </c>
      <c r="C10" s="23">
        <v>26.5</v>
      </c>
      <c r="D10" s="23">
        <v>4.9000000000000004</v>
      </c>
      <c r="E10" s="23">
        <v>4</v>
      </c>
      <c r="F10" s="23">
        <v>1</v>
      </c>
      <c r="G10" s="24">
        <v>113921</v>
      </c>
      <c r="H10" s="25">
        <v>5134</v>
      </c>
      <c r="I10" s="26">
        <v>3908</v>
      </c>
      <c r="J10" s="27">
        <v>2448</v>
      </c>
      <c r="K10" s="28">
        <v>12316</v>
      </c>
      <c r="L10" s="29">
        <v>23806</v>
      </c>
    </row>
    <row r="11" spans="1:12" ht="15" customHeight="1" x14ac:dyDescent="0.2">
      <c r="A11" s="22" t="s">
        <v>43</v>
      </c>
      <c r="B11" s="23" t="s">
        <v>44</v>
      </c>
      <c r="C11" s="23">
        <v>23.83</v>
      </c>
      <c r="D11" s="23">
        <v>4.9000000000000004</v>
      </c>
      <c r="E11" s="23">
        <v>4</v>
      </c>
      <c r="F11" s="23">
        <v>1</v>
      </c>
      <c r="G11" s="24">
        <v>96479</v>
      </c>
      <c r="H11" s="25">
        <v>2634</v>
      </c>
      <c r="I11" s="26">
        <v>4289</v>
      </c>
      <c r="J11" s="27">
        <v>5813</v>
      </c>
      <c r="K11" s="28">
        <v>5247</v>
      </c>
      <c r="L11" s="29">
        <v>17983</v>
      </c>
    </row>
    <row r="12" spans="1:12" ht="15" customHeight="1" x14ac:dyDescent="0.2">
      <c r="A12" s="22" t="s">
        <v>45</v>
      </c>
      <c r="B12" s="23" t="s">
        <v>46</v>
      </c>
      <c r="C12" s="23">
        <v>22.42</v>
      </c>
      <c r="D12" s="23">
        <v>4.9000000000000004</v>
      </c>
      <c r="E12" s="23">
        <v>3</v>
      </c>
      <c r="F12" s="23">
        <v>1</v>
      </c>
      <c r="G12" s="24">
        <v>60856</v>
      </c>
      <c r="H12" s="25">
        <v>5247</v>
      </c>
      <c r="I12" s="26">
        <v>3819</v>
      </c>
      <c r="J12" s="27">
        <v>7305</v>
      </c>
      <c r="K12" s="28">
        <v>5484</v>
      </c>
      <c r="L12" s="29">
        <v>21855</v>
      </c>
    </row>
    <row r="13" spans="1:12" ht="15" customHeight="1" x14ac:dyDescent="0.2">
      <c r="A13" s="22" t="s">
        <v>47</v>
      </c>
      <c r="B13" s="23" t="s">
        <v>48</v>
      </c>
      <c r="C13" s="23">
        <v>20.05</v>
      </c>
      <c r="D13" s="23">
        <v>5.2</v>
      </c>
      <c r="E13" s="23">
        <v>4</v>
      </c>
      <c r="F13" s="23">
        <v>1</v>
      </c>
      <c r="G13" s="24">
        <v>49795</v>
      </c>
      <c r="H13" s="25">
        <v>780</v>
      </c>
      <c r="I13" s="26">
        <v>1385</v>
      </c>
      <c r="J13" s="27">
        <v>574</v>
      </c>
      <c r="K13" s="28">
        <v>477</v>
      </c>
      <c r="L13" s="29">
        <v>3216</v>
      </c>
    </row>
    <row r="14" spans="1:12" ht="15" customHeight="1" x14ac:dyDescent="0.2">
      <c r="A14" s="22" t="s">
        <v>49</v>
      </c>
      <c r="B14" s="23" t="s">
        <v>50</v>
      </c>
      <c r="C14" s="23">
        <v>19.3</v>
      </c>
      <c r="D14" s="23">
        <v>4.9000000000000004</v>
      </c>
      <c r="E14" s="23">
        <v>3</v>
      </c>
      <c r="F14" s="23">
        <v>1</v>
      </c>
      <c r="G14" s="24">
        <v>86848</v>
      </c>
      <c r="H14" s="25">
        <v>3401</v>
      </c>
      <c r="I14" s="26">
        <v>2168</v>
      </c>
      <c r="J14" s="27">
        <v>1158</v>
      </c>
      <c r="K14" s="28">
        <v>1013</v>
      </c>
      <c r="L14" s="29">
        <v>7740</v>
      </c>
    </row>
    <row r="15" spans="1:12" ht="15" customHeight="1" x14ac:dyDescent="0.2">
      <c r="A15" s="22" t="s">
        <v>51</v>
      </c>
      <c r="B15" s="23" t="s">
        <v>52</v>
      </c>
      <c r="C15" s="23">
        <v>19.190000000000001</v>
      </c>
      <c r="D15" s="23">
        <v>6.8</v>
      </c>
      <c r="E15" s="23">
        <v>3</v>
      </c>
      <c r="F15" s="23">
        <v>1</v>
      </c>
      <c r="G15" s="24">
        <v>8951</v>
      </c>
      <c r="H15" s="25">
        <v>305</v>
      </c>
      <c r="I15" s="26">
        <v>521</v>
      </c>
      <c r="J15" s="27">
        <v>203</v>
      </c>
      <c r="K15" s="28">
        <v>403</v>
      </c>
      <c r="L15" s="29">
        <v>1432</v>
      </c>
    </row>
    <row r="16" spans="1:12" ht="15" customHeight="1" x14ac:dyDescent="0.2">
      <c r="A16" s="22" t="s">
        <v>53</v>
      </c>
      <c r="B16" s="23" t="s">
        <v>54</v>
      </c>
      <c r="C16" s="23">
        <v>18.98</v>
      </c>
      <c r="D16" s="23">
        <v>5</v>
      </c>
      <c r="E16" s="23">
        <v>2</v>
      </c>
      <c r="F16" s="23">
        <v>1</v>
      </c>
      <c r="G16" s="24">
        <v>57947</v>
      </c>
      <c r="H16" s="25">
        <v>2251</v>
      </c>
      <c r="I16" s="26">
        <v>4904</v>
      </c>
      <c r="J16" s="27">
        <v>1163</v>
      </c>
      <c r="K16" s="28">
        <v>882</v>
      </c>
      <c r="L16" s="29">
        <v>9200</v>
      </c>
    </row>
    <row r="17" spans="1:12" ht="15" customHeight="1" x14ac:dyDescent="0.2">
      <c r="A17" s="22" t="s">
        <v>55</v>
      </c>
      <c r="B17" s="23" t="s">
        <v>56</v>
      </c>
      <c r="C17" s="23">
        <v>17.96</v>
      </c>
      <c r="D17" s="23">
        <v>4.8</v>
      </c>
      <c r="E17" s="23">
        <v>3</v>
      </c>
      <c r="F17" s="23">
        <v>1</v>
      </c>
      <c r="G17" s="24">
        <v>74810</v>
      </c>
      <c r="H17" s="25">
        <v>835</v>
      </c>
      <c r="I17" s="26">
        <v>935</v>
      </c>
      <c r="J17" s="27">
        <v>1656</v>
      </c>
      <c r="K17" s="28">
        <v>819</v>
      </c>
      <c r="L17" s="29">
        <v>4245</v>
      </c>
    </row>
    <row r="18" spans="1:12" ht="15" customHeight="1" x14ac:dyDescent="0.2">
      <c r="A18" s="22" t="s">
        <v>57</v>
      </c>
      <c r="B18" s="23" t="s">
        <v>58</v>
      </c>
      <c r="C18" s="23">
        <v>17.850000000000001</v>
      </c>
      <c r="D18" s="23">
        <v>6.4</v>
      </c>
      <c r="E18" s="23">
        <v>4</v>
      </c>
      <c r="F18" s="23">
        <v>1</v>
      </c>
      <c r="G18" s="24">
        <v>42696</v>
      </c>
      <c r="H18" s="25">
        <v>349</v>
      </c>
      <c r="I18" s="26">
        <v>575</v>
      </c>
      <c r="J18" s="27">
        <v>1632</v>
      </c>
      <c r="K18" s="28">
        <v>1932</v>
      </c>
      <c r="L18" s="29">
        <v>4488</v>
      </c>
    </row>
    <row r="19" spans="1:12" ht="15" customHeight="1" x14ac:dyDescent="0.2">
      <c r="A19" s="22" t="s">
        <v>59</v>
      </c>
      <c r="B19" s="23" t="s">
        <v>60</v>
      </c>
      <c r="C19" s="23">
        <v>16.920000000000002</v>
      </c>
      <c r="D19" s="23">
        <v>5.0999999999999996</v>
      </c>
      <c r="E19" s="23">
        <v>2</v>
      </c>
      <c r="F19" s="23">
        <v>1</v>
      </c>
      <c r="G19" s="24">
        <v>74800</v>
      </c>
      <c r="H19" s="25">
        <v>5575</v>
      </c>
      <c r="I19" s="26">
        <v>6116</v>
      </c>
      <c r="J19" s="27">
        <v>1404</v>
      </c>
      <c r="K19" s="28">
        <v>5644</v>
      </c>
      <c r="L19" s="29">
        <v>18739</v>
      </c>
    </row>
    <row r="20" spans="1:12" ht="15" customHeight="1" x14ac:dyDescent="0.2">
      <c r="A20" s="22" t="s">
        <v>61</v>
      </c>
      <c r="B20" s="23" t="s">
        <v>62</v>
      </c>
      <c r="C20" s="23">
        <v>15.95</v>
      </c>
      <c r="D20" s="23">
        <v>6</v>
      </c>
      <c r="E20" s="23">
        <v>2</v>
      </c>
      <c r="F20" s="23">
        <v>1</v>
      </c>
      <c r="G20" s="24">
        <v>14464</v>
      </c>
      <c r="H20" s="25">
        <v>535</v>
      </c>
      <c r="I20" s="26">
        <v>178</v>
      </c>
      <c r="J20" s="27">
        <v>278</v>
      </c>
      <c r="K20" s="28">
        <v>719</v>
      </c>
      <c r="L20" s="29">
        <v>1710</v>
      </c>
    </row>
    <row r="21" spans="1:12" ht="15" customHeight="1" x14ac:dyDescent="0.2">
      <c r="A21" s="22" t="s">
        <v>63</v>
      </c>
      <c r="B21" s="23" t="s">
        <v>64</v>
      </c>
      <c r="C21" s="23">
        <v>15.35</v>
      </c>
      <c r="D21" s="23">
        <v>10</v>
      </c>
      <c r="E21" s="23">
        <v>3</v>
      </c>
      <c r="F21" s="23">
        <v>1</v>
      </c>
      <c r="G21" s="24">
        <v>25100</v>
      </c>
      <c r="H21" s="25">
        <v>596</v>
      </c>
      <c r="I21" s="26">
        <v>2374</v>
      </c>
      <c r="J21" s="27">
        <v>1228</v>
      </c>
      <c r="K21" s="28">
        <v>1279</v>
      </c>
      <c r="L21" s="29">
        <v>5477</v>
      </c>
    </row>
    <row r="22" spans="1:12" ht="15" customHeight="1" x14ac:dyDescent="0.2">
      <c r="A22" s="22" t="s">
        <v>65</v>
      </c>
      <c r="B22" s="23" t="s">
        <v>66</v>
      </c>
      <c r="C22" s="23">
        <v>14.24</v>
      </c>
      <c r="D22" s="23">
        <v>4.5</v>
      </c>
      <c r="E22" s="23">
        <v>3</v>
      </c>
      <c r="F22" s="23">
        <v>1</v>
      </c>
      <c r="G22" s="24">
        <v>32335</v>
      </c>
      <c r="H22" s="25">
        <v>632</v>
      </c>
      <c r="I22" s="26">
        <v>1843</v>
      </c>
      <c r="J22" s="27">
        <v>2062</v>
      </c>
      <c r="K22" s="28">
        <v>662</v>
      </c>
      <c r="L22" s="29">
        <v>5199</v>
      </c>
    </row>
    <row r="23" spans="1:12" ht="15" customHeight="1" x14ac:dyDescent="0.2">
      <c r="A23" s="22" t="s">
        <v>67</v>
      </c>
      <c r="B23" s="23" t="s">
        <v>68</v>
      </c>
      <c r="C23" s="23">
        <v>13.57</v>
      </c>
      <c r="D23" s="23">
        <v>4.9000000000000004</v>
      </c>
      <c r="E23" s="23">
        <v>3</v>
      </c>
      <c r="F23" s="23">
        <v>1</v>
      </c>
      <c r="G23" s="24">
        <v>42698</v>
      </c>
      <c r="H23" s="25">
        <v>1789</v>
      </c>
      <c r="I23" s="26">
        <v>2807</v>
      </c>
      <c r="J23" s="27">
        <v>1933</v>
      </c>
      <c r="K23" s="28">
        <v>1199</v>
      </c>
      <c r="L23" s="29">
        <v>7728</v>
      </c>
    </row>
    <row r="24" spans="1:12" ht="15" customHeight="1" x14ac:dyDescent="0.2">
      <c r="A24" s="22" t="s">
        <v>69</v>
      </c>
      <c r="B24" s="23" t="s">
        <v>70</v>
      </c>
      <c r="C24" s="23">
        <v>13.53</v>
      </c>
      <c r="D24" s="23">
        <v>4.9000000000000004</v>
      </c>
      <c r="E24" s="23">
        <v>2</v>
      </c>
      <c r="F24" s="23">
        <v>1</v>
      </c>
      <c r="G24" s="24">
        <v>33366</v>
      </c>
      <c r="H24" s="25">
        <v>718</v>
      </c>
      <c r="I24" s="26">
        <v>2171</v>
      </c>
      <c r="J24" s="27">
        <v>583</v>
      </c>
      <c r="K24" s="28">
        <v>2369</v>
      </c>
      <c r="L24" s="29">
        <v>5841</v>
      </c>
    </row>
    <row r="25" spans="1:12" ht="15" customHeight="1" x14ac:dyDescent="0.2">
      <c r="A25" s="22" t="s">
        <v>71</v>
      </c>
      <c r="B25" s="23" t="s">
        <v>72</v>
      </c>
      <c r="C25" s="23">
        <v>13.5</v>
      </c>
      <c r="D25" s="23">
        <v>6</v>
      </c>
      <c r="E25" s="23">
        <v>3</v>
      </c>
      <c r="F25" s="23">
        <v>1</v>
      </c>
      <c r="G25" s="24">
        <v>35889</v>
      </c>
      <c r="H25" s="25">
        <v>3350</v>
      </c>
      <c r="I25" s="26">
        <v>2751</v>
      </c>
      <c r="J25" s="27">
        <v>1107</v>
      </c>
      <c r="K25" s="28">
        <v>2080</v>
      </c>
      <c r="L25" s="29">
        <v>9288</v>
      </c>
    </row>
    <row r="26" spans="1:12" ht="15" customHeight="1" x14ac:dyDescent="0.2">
      <c r="A26" s="22" t="s">
        <v>73</v>
      </c>
      <c r="B26" s="23" t="s">
        <v>74</v>
      </c>
      <c r="C26" s="23">
        <v>13.06</v>
      </c>
      <c r="D26" s="23">
        <v>4.8</v>
      </c>
      <c r="E26" s="23">
        <v>3</v>
      </c>
      <c r="F26" s="23">
        <v>1</v>
      </c>
      <c r="G26" s="24">
        <v>55699</v>
      </c>
      <c r="H26" s="25">
        <v>2193</v>
      </c>
      <c r="I26" s="26">
        <v>4061</v>
      </c>
      <c r="J26" s="27">
        <v>2062</v>
      </c>
      <c r="K26" s="28">
        <v>7417</v>
      </c>
      <c r="L26" s="29">
        <v>15733</v>
      </c>
    </row>
    <row r="27" spans="1:12" ht="15" customHeight="1" x14ac:dyDescent="0.2">
      <c r="A27" s="22" t="s">
        <v>75</v>
      </c>
      <c r="B27" s="23" t="s">
        <v>76</v>
      </c>
      <c r="C27" s="23">
        <v>12.74</v>
      </c>
      <c r="D27" s="23">
        <v>5.6</v>
      </c>
      <c r="E27" s="23">
        <v>3</v>
      </c>
      <c r="F27" s="23">
        <v>1</v>
      </c>
      <c r="G27" s="24">
        <v>11100</v>
      </c>
      <c r="H27" s="25">
        <v>413</v>
      </c>
      <c r="I27" s="26">
        <v>239</v>
      </c>
      <c r="J27" s="27">
        <v>207</v>
      </c>
      <c r="K27" s="28">
        <v>987</v>
      </c>
      <c r="L27" s="29">
        <v>1846</v>
      </c>
    </row>
    <row r="28" spans="1:12" ht="15" customHeight="1" x14ac:dyDescent="0.2">
      <c r="A28" s="22" t="s">
        <v>77</v>
      </c>
      <c r="B28" s="23" t="s">
        <v>78</v>
      </c>
      <c r="C28" s="23">
        <v>12.46</v>
      </c>
      <c r="D28" s="23">
        <v>5.2</v>
      </c>
      <c r="E28" s="23">
        <v>3</v>
      </c>
      <c r="F28" s="23">
        <v>1</v>
      </c>
      <c r="G28" s="24">
        <v>27498</v>
      </c>
      <c r="H28" s="25">
        <v>561</v>
      </c>
      <c r="I28" s="26">
        <v>763</v>
      </c>
      <c r="J28" s="27">
        <v>3094</v>
      </c>
      <c r="K28" s="28">
        <v>1877</v>
      </c>
      <c r="L28" s="29">
        <v>6295</v>
      </c>
    </row>
    <row r="29" spans="1:12" ht="15" customHeight="1" x14ac:dyDescent="0.2">
      <c r="A29" s="22" t="s">
        <v>79</v>
      </c>
      <c r="B29" s="23" t="s">
        <v>80</v>
      </c>
      <c r="C29" s="23">
        <v>11.94</v>
      </c>
      <c r="D29" s="23">
        <v>4.9000000000000004</v>
      </c>
      <c r="E29" s="23">
        <v>3</v>
      </c>
      <c r="F29" s="23">
        <v>1</v>
      </c>
      <c r="G29" s="24">
        <v>33269</v>
      </c>
      <c r="H29" s="25">
        <v>2228</v>
      </c>
      <c r="I29" s="26">
        <v>1640</v>
      </c>
      <c r="J29" s="27">
        <v>1617</v>
      </c>
      <c r="K29" s="28">
        <v>761</v>
      </c>
      <c r="L29" s="29">
        <v>6246</v>
      </c>
    </row>
    <row r="30" spans="1:12" ht="15" customHeight="1" x14ac:dyDescent="0.2">
      <c r="A30" s="22" t="s">
        <v>81</v>
      </c>
      <c r="B30" s="23" t="s">
        <v>82</v>
      </c>
      <c r="C30" s="23">
        <v>11.9</v>
      </c>
      <c r="D30" s="23">
        <v>4.9000000000000004</v>
      </c>
      <c r="E30" s="23">
        <v>3</v>
      </c>
      <c r="F30" s="23">
        <v>1</v>
      </c>
      <c r="G30" s="24">
        <v>31527</v>
      </c>
      <c r="H30" s="25">
        <v>5659</v>
      </c>
      <c r="I30" s="26">
        <v>2594</v>
      </c>
      <c r="J30" s="27">
        <v>2668</v>
      </c>
      <c r="K30" s="28">
        <v>1714</v>
      </c>
      <c r="L30" s="29">
        <v>12635</v>
      </c>
    </row>
    <row r="31" spans="1:12" ht="15" customHeight="1" x14ac:dyDescent="0.2">
      <c r="A31" s="22" t="s">
        <v>83</v>
      </c>
      <c r="B31" s="23" t="s">
        <v>84</v>
      </c>
      <c r="C31" s="23">
        <v>11.7</v>
      </c>
      <c r="D31" s="23">
        <v>6</v>
      </c>
      <c r="E31" s="23">
        <v>4</v>
      </c>
      <c r="F31" s="23">
        <v>1</v>
      </c>
      <c r="G31" s="24">
        <v>30051</v>
      </c>
      <c r="H31" s="25">
        <v>123</v>
      </c>
      <c r="I31" s="26">
        <v>739</v>
      </c>
      <c r="J31" s="27">
        <v>1433</v>
      </c>
      <c r="K31" s="28">
        <v>758</v>
      </c>
      <c r="L31" s="29">
        <v>3053</v>
      </c>
    </row>
    <row r="32" spans="1:12" ht="15" customHeight="1" x14ac:dyDescent="0.2">
      <c r="A32" s="22" t="s">
        <v>85</v>
      </c>
      <c r="B32" s="23" t="s">
        <v>86</v>
      </c>
      <c r="C32" s="23">
        <v>11.44</v>
      </c>
      <c r="D32" s="23">
        <v>4.5</v>
      </c>
      <c r="E32" s="23">
        <v>4</v>
      </c>
      <c r="F32" s="23">
        <v>1</v>
      </c>
      <c r="G32" s="24">
        <v>33637</v>
      </c>
      <c r="H32" s="25">
        <v>1350</v>
      </c>
      <c r="I32" s="26">
        <v>1683</v>
      </c>
      <c r="J32" s="27">
        <v>1738</v>
      </c>
      <c r="K32" s="28">
        <v>1287</v>
      </c>
      <c r="L32" s="29">
        <v>6058</v>
      </c>
    </row>
    <row r="33" spans="1:12" ht="15" customHeight="1" x14ac:dyDescent="0.2">
      <c r="A33" s="22" t="s">
        <v>87</v>
      </c>
      <c r="B33" s="23" t="s">
        <v>88</v>
      </c>
      <c r="C33" s="23">
        <v>10.47</v>
      </c>
      <c r="D33" s="23">
        <v>5.2</v>
      </c>
      <c r="E33" s="23">
        <v>3</v>
      </c>
      <c r="F33" s="23">
        <v>1</v>
      </c>
      <c r="G33" s="24">
        <v>28679</v>
      </c>
      <c r="H33" s="25">
        <v>2327</v>
      </c>
      <c r="I33" s="26">
        <v>3955</v>
      </c>
      <c r="J33" s="27">
        <v>786</v>
      </c>
      <c r="K33" s="28">
        <v>870</v>
      </c>
      <c r="L33" s="29">
        <v>7938</v>
      </c>
    </row>
    <row r="34" spans="1:12" ht="15" customHeight="1" x14ac:dyDescent="0.2">
      <c r="A34" s="22" t="s">
        <v>89</v>
      </c>
      <c r="B34" s="23" t="s">
        <v>90</v>
      </c>
      <c r="C34" s="23">
        <v>10.4</v>
      </c>
      <c r="D34" s="23">
        <v>9</v>
      </c>
      <c r="E34" s="23">
        <v>2</v>
      </c>
      <c r="F34" s="23">
        <v>1</v>
      </c>
      <c r="G34" s="24">
        <v>6807</v>
      </c>
      <c r="H34" s="25">
        <v>382</v>
      </c>
      <c r="I34" s="26">
        <v>435</v>
      </c>
      <c r="J34" s="27">
        <v>247</v>
      </c>
      <c r="K34" s="28">
        <v>120</v>
      </c>
      <c r="L34" s="29">
        <v>1184</v>
      </c>
    </row>
    <row r="35" spans="1:12" ht="15" customHeight="1" x14ac:dyDescent="0.2">
      <c r="A35" s="22" t="s">
        <v>91</v>
      </c>
      <c r="B35" s="23" t="s">
        <v>92</v>
      </c>
      <c r="C35" s="23">
        <v>10.23</v>
      </c>
      <c r="D35" s="23">
        <v>4.8</v>
      </c>
      <c r="E35" s="23">
        <v>3</v>
      </c>
      <c r="F35" s="23">
        <v>1</v>
      </c>
      <c r="G35" s="24">
        <v>57850</v>
      </c>
      <c r="H35" s="25">
        <v>2068</v>
      </c>
      <c r="I35" s="26">
        <v>1995</v>
      </c>
      <c r="J35" s="27">
        <v>3863</v>
      </c>
      <c r="K35" s="28">
        <v>1624</v>
      </c>
      <c r="L35" s="29">
        <v>9550</v>
      </c>
    </row>
    <row r="36" spans="1:12" ht="15" customHeight="1" x14ac:dyDescent="0.2">
      <c r="A36" s="22" t="s">
        <v>93</v>
      </c>
      <c r="B36" s="23" t="s">
        <v>94</v>
      </c>
      <c r="C36" s="23">
        <v>9.93</v>
      </c>
      <c r="D36" s="23">
        <v>4.5</v>
      </c>
      <c r="E36" s="23">
        <v>3</v>
      </c>
      <c r="F36" s="23">
        <v>1</v>
      </c>
      <c r="G36" s="24">
        <v>27295</v>
      </c>
      <c r="H36" s="25">
        <v>786</v>
      </c>
      <c r="I36" s="26">
        <v>694</v>
      </c>
      <c r="J36" s="27">
        <v>1703</v>
      </c>
      <c r="K36" s="28">
        <v>643</v>
      </c>
      <c r="L36" s="29">
        <v>3826</v>
      </c>
    </row>
    <row r="37" spans="1:12" ht="15" customHeight="1" x14ac:dyDescent="0.2">
      <c r="A37" s="22" t="s">
        <v>95</v>
      </c>
      <c r="B37" s="23" t="s">
        <v>96</v>
      </c>
      <c r="C37" s="23">
        <v>9.5</v>
      </c>
      <c r="D37" s="23">
        <v>9</v>
      </c>
      <c r="E37" s="23">
        <v>3</v>
      </c>
      <c r="F37" s="23">
        <v>1</v>
      </c>
      <c r="G37" s="24">
        <v>5939</v>
      </c>
      <c r="H37" s="25">
        <v>150</v>
      </c>
      <c r="I37" s="26">
        <v>801</v>
      </c>
      <c r="J37" s="27">
        <v>264</v>
      </c>
      <c r="K37" s="28">
        <v>158</v>
      </c>
      <c r="L37" s="29">
        <v>1373</v>
      </c>
    </row>
    <row r="38" spans="1:12" ht="15" customHeight="1" x14ac:dyDescent="0.2">
      <c r="A38" s="22" t="s">
        <v>97</v>
      </c>
      <c r="B38" s="23" t="s">
        <v>98</v>
      </c>
      <c r="C38" s="23">
        <v>9.18</v>
      </c>
      <c r="D38" s="23">
        <v>10</v>
      </c>
      <c r="E38" s="23">
        <v>2</v>
      </c>
      <c r="F38" s="23">
        <v>1</v>
      </c>
      <c r="G38" s="24">
        <v>5006</v>
      </c>
      <c r="H38" s="25">
        <v>220</v>
      </c>
      <c r="I38" s="26">
        <v>139</v>
      </c>
      <c r="J38" s="27">
        <v>180</v>
      </c>
      <c r="K38" s="28">
        <v>42</v>
      </c>
      <c r="L38" s="29">
        <v>581</v>
      </c>
    </row>
    <row r="39" spans="1:12" ht="15" customHeight="1" x14ac:dyDescent="0.2">
      <c r="A39" s="22" t="s">
        <v>99</v>
      </c>
      <c r="B39" s="23" t="s">
        <v>100</v>
      </c>
      <c r="C39" s="23">
        <v>8.92</v>
      </c>
      <c r="D39" s="23">
        <v>4.9000000000000004</v>
      </c>
      <c r="E39" s="23">
        <v>3</v>
      </c>
      <c r="F39" s="23">
        <v>1</v>
      </c>
      <c r="G39" s="24">
        <v>16645</v>
      </c>
      <c r="H39" s="25">
        <v>1350</v>
      </c>
      <c r="I39" s="26">
        <v>474</v>
      </c>
      <c r="J39" s="27">
        <v>180</v>
      </c>
      <c r="K39" s="28">
        <v>938</v>
      </c>
      <c r="L39" s="29">
        <v>2942</v>
      </c>
    </row>
    <row r="40" spans="1:12" ht="15" customHeight="1" x14ac:dyDescent="0.2">
      <c r="A40" s="22" t="s">
        <v>101</v>
      </c>
      <c r="B40" s="23" t="s">
        <v>102</v>
      </c>
      <c r="C40" s="23">
        <v>8.59</v>
      </c>
      <c r="D40" s="23">
        <v>4.7</v>
      </c>
      <c r="E40" s="23">
        <v>2</v>
      </c>
      <c r="F40" s="23">
        <v>1</v>
      </c>
      <c r="G40" s="24">
        <v>25569</v>
      </c>
      <c r="H40" s="25">
        <v>1628</v>
      </c>
      <c r="I40" s="26">
        <v>1158</v>
      </c>
      <c r="J40" s="27">
        <v>1604</v>
      </c>
      <c r="K40" s="28">
        <v>2963</v>
      </c>
      <c r="L40" s="29">
        <v>7353</v>
      </c>
    </row>
    <row r="41" spans="1:12" ht="15" customHeight="1" x14ac:dyDescent="0.2">
      <c r="A41" s="22" t="s">
        <v>103</v>
      </c>
      <c r="B41" s="23" t="s">
        <v>104</v>
      </c>
      <c r="C41" s="23">
        <v>8.1</v>
      </c>
      <c r="D41" s="23">
        <v>10.4</v>
      </c>
      <c r="E41" s="23">
        <v>3</v>
      </c>
      <c r="F41" s="23">
        <v>1</v>
      </c>
      <c r="G41" s="24">
        <v>6354</v>
      </c>
      <c r="H41" s="25">
        <v>229</v>
      </c>
      <c r="I41" s="26">
        <v>297</v>
      </c>
      <c r="J41" s="27">
        <v>381</v>
      </c>
      <c r="K41" s="28">
        <v>303</v>
      </c>
      <c r="L41" s="29">
        <v>1210</v>
      </c>
    </row>
    <row r="42" spans="1:12" ht="15" customHeight="1" x14ac:dyDescent="0.2">
      <c r="A42" s="22" t="s">
        <v>105</v>
      </c>
      <c r="B42" s="23" t="s">
        <v>106</v>
      </c>
      <c r="C42" s="23">
        <v>8.01</v>
      </c>
      <c r="D42" s="23">
        <v>4.9000000000000004</v>
      </c>
      <c r="E42" s="23">
        <v>3</v>
      </c>
      <c r="F42" s="23">
        <v>1</v>
      </c>
      <c r="G42" s="24">
        <v>6183</v>
      </c>
      <c r="H42" s="25">
        <v>325</v>
      </c>
      <c r="I42" s="26">
        <v>591</v>
      </c>
      <c r="J42" s="27">
        <v>166</v>
      </c>
      <c r="K42" s="28">
        <v>359</v>
      </c>
      <c r="L42" s="29">
        <v>1441</v>
      </c>
    </row>
    <row r="43" spans="1:12" ht="15" customHeight="1" x14ac:dyDescent="0.2">
      <c r="A43" s="22" t="s">
        <v>107</v>
      </c>
      <c r="B43" s="23" t="s">
        <v>108</v>
      </c>
      <c r="C43" s="23">
        <v>7.86</v>
      </c>
      <c r="D43" s="23">
        <v>5</v>
      </c>
      <c r="E43" s="23">
        <v>3</v>
      </c>
      <c r="F43" s="23">
        <v>1</v>
      </c>
      <c r="G43" s="24">
        <v>29113</v>
      </c>
      <c r="H43" s="25">
        <v>2065</v>
      </c>
      <c r="I43" s="26">
        <v>4902</v>
      </c>
      <c r="J43" s="27">
        <v>3613</v>
      </c>
      <c r="K43" s="28">
        <v>1401</v>
      </c>
      <c r="L43" s="29">
        <v>11981</v>
      </c>
    </row>
    <row r="44" spans="1:12" ht="15" customHeight="1" x14ac:dyDescent="0.2">
      <c r="A44" s="22" t="s">
        <v>109</v>
      </c>
      <c r="B44" s="23" t="s">
        <v>110</v>
      </c>
      <c r="C44" s="23">
        <v>7.74</v>
      </c>
      <c r="D44" s="23">
        <v>9</v>
      </c>
      <c r="E44" s="23">
        <v>3</v>
      </c>
      <c r="F44" s="23">
        <v>1</v>
      </c>
      <c r="G44" s="24">
        <v>3018</v>
      </c>
      <c r="H44" s="25">
        <v>192</v>
      </c>
      <c r="I44" s="26">
        <v>132</v>
      </c>
      <c r="J44" s="27">
        <v>50</v>
      </c>
      <c r="K44" s="28">
        <v>119</v>
      </c>
      <c r="L44" s="29">
        <v>493</v>
      </c>
    </row>
    <row r="45" spans="1:12" ht="15" customHeight="1" x14ac:dyDescent="0.2">
      <c r="A45" s="22" t="s">
        <v>111</v>
      </c>
      <c r="B45" s="23" t="s">
        <v>112</v>
      </c>
      <c r="C45" s="23">
        <v>7.62</v>
      </c>
      <c r="D45" s="23">
        <v>5.2</v>
      </c>
      <c r="E45" s="23">
        <v>3</v>
      </c>
      <c r="F45" s="23">
        <v>1</v>
      </c>
      <c r="G45" s="24">
        <v>18300</v>
      </c>
      <c r="H45" s="25">
        <v>653</v>
      </c>
      <c r="I45" s="26">
        <v>468</v>
      </c>
      <c r="J45" s="27">
        <v>763</v>
      </c>
      <c r="K45" s="28">
        <v>651</v>
      </c>
      <c r="L45" s="29">
        <v>2535</v>
      </c>
    </row>
    <row r="46" spans="1:12" ht="15" customHeight="1" x14ac:dyDescent="0.2">
      <c r="A46" s="22" t="s">
        <v>113</v>
      </c>
      <c r="B46" s="23" t="s">
        <v>114</v>
      </c>
      <c r="C46" s="23">
        <v>7.35</v>
      </c>
      <c r="D46" s="23">
        <v>8</v>
      </c>
      <c r="E46" s="23">
        <v>2</v>
      </c>
      <c r="F46" s="23">
        <v>1</v>
      </c>
      <c r="G46" s="24">
        <v>5124</v>
      </c>
      <c r="H46" s="25">
        <v>397</v>
      </c>
      <c r="I46" s="26">
        <v>594</v>
      </c>
      <c r="J46" s="27">
        <v>160</v>
      </c>
      <c r="K46" s="28">
        <v>202</v>
      </c>
      <c r="L46" s="29">
        <v>1353</v>
      </c>
    </row>
    <row r="47" spans="1:12" ht="15" customHeight="1" x14ac:dyDescent="0.2">
      <c r="A47" s="22" t="s">
        <v>115</v>
      </c>
      <c r="B47" s="23" t="s">
        <v>116</v>
      </c>
      <c r="C47" s="23">
        <v>7.14</v>
      </c>
      <c r="D47" s="23">
        <v>10</v>
      </c>
      <c r="E47" s="23">
        <v>2</v>
      </c>
      <c r="F47" s="23">
        <v>1</v>
      </c>
      <c r="G47" s="24">
        <v>6388</v>
      </c>
      <c r="H47" s="25">
        <v>110</v>
      </c>
      <c r="I47" s="26">
        <v>235</v>
      </c>
      <c r="J47" s="27">
        <v>123</v>
      </c>
      <c r="K47" s="28">
        <v>304</v>
      </c>
      <c r="L47" s="29">
        <v>772</v>
      </c>
    </row>
    <row r="48" spans="1:12" ht="15" customHeight="1" x14ac:dyDescent="0.2">
      <c r="A48" s="22" t="s">
        <v>117</v>
      </c>
      <c r="B48" s="23" t="s">
        <v>118</v>
      </c>
      <c r="C48" s="23">
        <v>6.94</v>
      </c>
      <c r="D48" s="23">
        <v>5</v>
      </c>
      <c r="E48" s="23">
        <v>3</v>
      </c>
      <c r="F48" s="23">
        <v>1</v>
      </c>
      <c r="G48" s="24">
        <v>16301</v>
      </c>
      <c r="H48" s="25">
        <v>325</v>
      </c>
      <c r="I48" s="26">
        <v>1632</v>
      </c>
      <c r="J48" s="27">
        <v>307</v>
      </c>
      <c r="K48" s="28">
        <v>872</v>
      </c>
      <c r="L48" s="29">
        <v>3136</v>
      </c>
    </row>
    <row r="49" spans="1:12" ht="15" customHeight="1" x14ac:dyDescent="0.2">
      <c r="A49" s="22" t="s">
        <v>119</v>
      </c>
      <c r="B49" s="23" t="s">
        <v>120</v>
      </c>
      <c r="C49" s="23">
        <v>6.89</v>
      </c>
      <c r="D49" s="23">
        <v>9.1999999999999993</v>
      </c>
      <c r="E49" s="23">
        <v>3</v>
      </c>
      <c r="F49" s="23">
        <v>1</v>
      </c>
      <c r="G49" s="24">
        <v>3869</v>
      </c>
      <c r="H49" s="25">
        <v>95</v>
      </c>
      <c r="I49" s="26">
        <v>177</v>
      </c>
      <c r="J49" s="27">
        <v>205</v>
      </c>
      <c r="K49" s="28">
        <v>109</v>
      </c>
      <c r="L49" s="29">
        <v>586</v>
      </c>
    </row>
    <row r="50" spans="1:12" ht="15" customHeight="1" x14ac:dyDescent="0.2">
      <c r="A50" s="22" t="s">
        <v>121</v>
      </c>
      <c r="B50" s="23" t="s">
        <v>122</v>
      </c>
      <c r="C50" s="23">
        <v>6.69</v>
      </c>
      <c r="D50" s="23">
        <v>4.9000000000000004</v>
      </c>
      <c r="E50" s="23">
        <v>2</v>
      </c>
      <c r="F50" s="23">
        <v>1</v>
      </c>
      <c r="G50" s="24">
        <v>28518</v>
      </c>
      <c r="H50" s="25">
        <v>392</v>
      </c>
      <c r="I50" s="26">
        <v>229</v>
      </c>
      <c r="J50" s="27">
        <v>1506</v>
      </c>
      <c r="K50" s="28">
        <v>706</v>
      </c>
      <c r="L50" s="29">
        <v>2833</v>
      </c>
    </row>
    <row r="51" spans="1:12" ht="15" customHeight="1" x14ac:dyDescent="0.2">
      <c r="A51" s="22" t="s">
        <v>123</v>
      </c>
      <c r="B51" s="23" t="s">
        <v>124</v>
      </c>
      <c r="C51" s="23">
        <v>6.61</v>
      </c>
      <c r="D51" s="23">
        <v>4.5</v>
      </c>
      <c r="E51" s="23">
        <v>3</v>
      </c>
      <c r="F51" s="23">
        <v>1</v>
      </c>
      <c r="G51" s="24">
        <v>19734</v>
      </c>
      <c r="H51" s="25">
        <v>1206</v>
      </c>
      <c r="I51" s="26">
        <v>1167</v>
      </c>
      <c r="J51" s="27">
        <v>1637</v>
      </c>
      <c r="K51" s="28">
        <v>507</v>
      </c>
      <c r="L51" s="29">
        <v>4517</v>
      </c>
    </row>
    <row r="52" spans="1:12" ht="15" customHeight="1" x14ac:dyDescent="0.2">
      <c r="A52" s="22" t="s">
        <v>125</v>
      </c>
      <c r="B52" s="23" t="s">
        <v>126</v>
      </c>
      <c r="C52" s="23">
        <v>6.44</v>
      </c>
      <c r="D52" s="23">
        <v>10.4</v>
      </c>
      <c r="E52" s="23">
        <v>3</v>
      </c>
      <c r="F52" s="23">
        <v>1</v>
      </c>
      <c r="G52" s="24">
        <v>5425</v>
      </c>
      <c r="H52" s="25">
        <v>148</v>
      </c>
      <c r="I52" s="26">
        <v>86</v>
      </c>
      <c r="J52" s="27">
        <v>222</v>
      </c>
      <c r="K52" s="28">
        <v>136</v>
      </c>
      <c r="L52" s="29">
        <v>592</v>
      </c>
    </row>
    <row r="53" spans="1:12" ht="15" customHeight="1" x14ac:dyDescent="0.2">
      <c r="A53" s="22" t="s">
        <v>127</v>
      </c>
      <c r="B53" s="23" t="s">
        <v>128</v>
      </c>
      <c r="C53" s="23">
        <v>6.3</v>
      </c>
      <c r="D53" s="23">
        <v>10.4</v>
      </c>
      <c r="E53" s="23">
        <v>3</v>
      </c>
      <c r="F53" s="23">
        <v>1</v>
      </c>
      <c r="G53" s="24">
        <v>3578</v>
      </c>
      <c r="H53" s="25">
        <v>183</v>
      </c>
      <c r="I53" s="26">
        <v>130</v>
      </c>
      <c r="J53" s="27">
        <v>300</v>
      </c>
      <c r="K53" s="28">
        <v>568</v>
      </c>
      <c r="L53" s="29">
        <v>1181</v>
      </c>
    </row>
    <row r="54" spans="1:12" ht="15" customHeight="1" x14ac:dyDescent="0.2">
      <c r="A54" s="22" t="s">
        <v>129</v>
      </c>
      <c r="B54" s="23" t="s">
        <v>130</v>
      </c>
      <c r="C54" s="23">
        <v>6.3</v>
      </c>
      <c r="D54" s="23">
        <v>4.9000000000000004</v>
      </c>
      <c r="E54" s="23">
        <v>2</v>
      </c>
      <c r="F54" s="23">
        <v>1</v>
      </c>
      <c r="G54" s="24">
        <v>22469</v>
      </c>
      <c r="H54" s="25">
        <v>555</v>
      </c>
      <c r="I54" s="26">
        <v>1766</v>
      </c>
      <c r="J54" s="27">
        <v>864</v>
      </c>
      <c r="K54" s="28">
        <v>478</v>
      </c>
      <c r="L54" s="29">
        <v>3663</v>
      </c>
    </row>
    <row r="55" spans="1:12" ht="15" customHeight="1" x14ac:dyDescent="0.2">
      <c r="A55" s="22" t="s">
        <v>131</v>
      </c>
      <c r="B55" s="23" t="s">
        <v>132</v>
      </c>
      <c r="C55" s="23">
        <v>6.29</v>
      </c>
      <c r="D55" s="23">
        <v>5.3</v>
      </c>
      <c r="E55" s="23">
        <v>3</v>
      </c>
      <c r="F55" s="23">
        <v>1</v>
      </c>
      <c r="G55" s="24">
        <v>14221</v>
      </c>
      <c r="H55" s="25">
        <v>521</v>
      </c>
      <c r="I55" s="26">
        <v>876</v>
      </c>
      <c r="J55" s="27">
        <v>674</v>
      </c>
      <c r="K55" s="28">
        <v>978</v>
      </c>
      <c r="L55" s="29">
        <v>3049</v>
      </c>
    </row>
    <row r="56" spans="1:12" ht="15" customHeight="1" x14ac:dyDescent="0.2">
      <c r="A56" s="22" t="s">
        <v>133</v>
      </c>
      <c r="B56" s="23" t="s">
        <v>134</v>
      </c>
      <c r="C56" s="23">
        <v>6.08</v>
      </c>
      <c r="D56" s="23">
        <v>4.9000000000000004</v>
      </c>
      <c r="E56" s="23">
        <v>2</v>
      </c>
      <c r="F56" s="23">
        <v>1</v>
      </c>
      <c r="G56" s="24">
        <v>11278</v>
      </c>
      <c r="H56" s="25">
        <v>542</v>
      </c>
      <c r="I56" s="26">
        <v>825</v>
      </c>
      <c r="J56" s="27">
        <v>868</v>
      </c>
      <c r="K56" s="28">
        <v>686</v>
      </c>
      <c r="L56" s="29">
        <v>2921</v>
      </c>
    </row>
    <row r="57" spans="1:12" ht="15" customHeight="1" x14ac:dyDescent="0.2">
      <c r="A57" s="22" t="s">
        <v>135</v>
      </c>
      <c r="B57" s="23" t="s">
        <v>136</v>
      </c>
      <c r="C57" s="23">
        <v>6.06</v>
      </c>
      <c r="D57" s="23">
        <v>4.7</v>
      </c>
      <c r="E57" s="23">
        <v>2</v>
      </c>
      <c r="F57" s="23">
        <v>1</v>
      </c>
      <c r="G57" s="24">
        <v>13894</v>
      </c>
      <c r="H57" s="25">
        <v>381</v>
      </c>
      <c r="I57" s="26">
        <v>527</v>
      </c>
      <c r="J57" s="27">
        <v>228</v>
      </c>
      <c r="K57" s="28">
        <v>278</v>
      </c>
      <c r="L57" s="29">
        <v>1414</v>
      </c>
    </row>
    <row r="58" spans="1:12" ht="15" customHeight="1" x14ac:dyDescent="0.2">
      <c r="A58" s="22" t="s">
        <v>137</v>
      </c>
      <c r="B58" s="23" t="s">
        <v>138</v>
      </c>
      <c r="C58" s="23">
        <v>5.85</v>
      </c>
      <c r="D58" s="23">
        <v>10</v>
      </c>
      <c r="E58" s="23">
        <v>3</v>
      </c>
      <c r="F58" s="23">
        <v>1</v>
      </c>
      <c r="G58" s="24">
        <v>5743</v>
      </c>
      <c r="H58" s="25">
        <v>248</v>
      </c>
      <c r="I58" s="26">
        <v>314</v>
      </c>
      <c r="J58" s="27">
        <v>79</v>
      </c>
      <c r="K58" s="28">
        <v>308</v>
      </c>
      <c r="L58" s="29">
        <v>949</v>
      </c>
    </row>
    <row r="59" spans="1:12" ht="15" customHeight="1" x14ac:dyDescent="0.2">
      <c r="A59" s="22" t="s">
        <v>139</v>
      </c>
      <c r="B59" s="23" t="s">
        <v>140</v>
      </c>
      <c r="C59" s="23">
        <v>5.79</v>
      </c>
      <c r="D59" s="23">
        <v>8.8000000000000007</v>
      </c>
      <c r="E59" s="23">
        <v>3</v>
      </c>
      <c r="F59" s="23">
        <v>1</v>
      </c>
      <c r="G59" s="24">
        <v>16116</v>
      </c>
      <c r="H59" s="25">
        <v>634</v>
      </c>
      <c r="I59" s="26">
        <v>1397</v>
      </c>
      <c r="J59" s="27">
        <v>922</v>
      </c>
      <c r="K59" s="28">
        <v>1440</v>
      </c>
      <c r="L59" s="29">
        <v>4393</v>
      </c>
    </row>
    <row r="60" spans="1:12" ht="15" customHeight="1" x14ac:dyDescent="0.2">
      <c r="A60" s="22" t="s">
        <v>141</v>
      </c>
      <c r="B60" s="23" t="s">
        <v>142</v>
      </c>
      <c r="C60" s="23">
        <v>5.45</v>
      </c>
      <c r="D60" s="23">
        <v>10</v>
      </c>
      <c r="E60" s="23">
        <v>3</v>
      </c>
      <c r="F60" s="23">
        <v>1</v>
      </c>
      <c r="G60" s="24">
        <v>6763</v>
      </c>
      <c r="H60" s="25">
        <v>277</v>
      </c>
      <c r="I60" s="26">
        <v>586</v>
      </c>
      <c r="J60" s="27">
        <v>310</v>
      </c>
      <c r="K60" s="28">
        <v>297</v>
      </c>
      <c r="L60" s="29">
        <v>1470</v>
      </c>
    </row>
    <row r="61" spans="1:12" ht="15" customHeight="1" x14ac:dyDescent="0.2">
      <c r="A61" s="22" t="s">
        <v>143</v>
      </c>
      <c r="B61" s="23" t="s">
        <v>144</v>
      </c>
      <c r="C61" s="23">
        <v>5.37</v>
      </c>
      <c r="D61" s="23">
        <v>4.9000000000000004</v>
      </c>
      <c r="E61" s="23">
        <v>3</v>
      </c>
      <c r="F61" s="23">
        <v>1</v>
      </c>
      <c r="G61" s="24">
        <v>15820</v>
      </c>
      <c r="H61" s="25">
        <v>1002</v>
      </c>
      <c r="I61" s="26">
        <v>1212</v>
      </c>
      <c r="J61" s="27">
        <v>880</v>
      </c>
      <c r="K61" s="28">
        <v>273</v>
      </c>
      <c r="L61" s="29">
        <v>3367</v>
      </c>
    </row>
    <row r="62" spans="1:12" ht="15" customHeight="1" x14ac:dyDescent="0.2">
      <c r="A62" s="22" t="s">
        <v>145</v>
      </c>
      <c r="B62" s="23" t="s">
        <v>146</v>
      </c>
      <c r="C62" s="23">
        <v>5.26</v>
      </c>
      <c r="D62" s="23">
        <v>10</v>
      </c>
      <c r="E62" s="23">
        <v>2</v>
      </c>
      <c r="F62" s="23">
        <v>1</v>
      </c>
      <c r="G62" s="24">
        <v>588</v>
      </c>
      <c r="H62" s="25">
        <v>55</v>
      </c>
      <c r="I62" s="26">
        <v>36</v>
      </c>
      <c r="J62" s="27">
        <v>45</v>
      </c>
      <c r="K62" s="28">
        <v>46</v>
      </c>
      <c r="L62" s="29">
        <v>182</v>
      </c>
    </row>
    <row r="63" spans="1:12" ht="15" customHeight="1" x14ac:dyDescent="0.2">
      <c r="A63" s="22" t="s">
        <v>147</v>
      </c>
      <c r="B63" s="23" t="s">
        <v>148</v>
      </c>
      <c r="C63" s="23">
        <v>4.75</v>
      </c>
      <c r="D63" s="23">
        <v>10</v>
      </c>
      <c r="E63" s="23">
        <v>3</v>
      </c>
      <c r="F63" s="23">
        <v>1</v>
      </c>
      <c r="G63" s="24">
        <v>531</v>
      </c>
      <c r="H63" s="25">
        <v>19</v>
      </c>
      <c r="I63" s="26">
        <v>29</v>
      </c>
      <c r="J63" s="27">
        <v>17</v>
      </c>
      <c r="K63" s="28">
        <v>27</v>
      </c>
      <c r="L63" s="29">
        <v>92</v>
      </c>
    </row>
    <row r="64" spans="1:12" ht="15" customHeight="1" x14ac:dyDescent="0.2">
      <c r="A64" s="22" t="s">
        <v>149</v>
      </c>
      <c r="B64" s="23" t="s">
        <v>150</v>
      </c>
      <c r="C64" s="23">
        <v>4.72</v>
      </c>
      <c r="D64" s="23">
        <v>4.9000000000000004</v>
      </c>
      <c r="E64" s="23">
        <v>3</v>
      </c>
      <c r="F64" s="23">
        <v>1</v>
      </c>
      <c r="G64" s="24">
        <v>17220</v>
      </c>
      <c r="H64" s="25">
        <v>566</v>
      </c>
      <c r="I64" s="26">
        <v>219</v>
      </c>
      <c r="J64" s="27">
        <v>1231</v>
      </c>
      <c r="K64" s="28">
        <v>1130</v>
      </c>
      <c r="L64" s="29">
        <v>3146</v>
      </c>
    </row>
    <row r="65" spans="1:12" ht="15" customHeight="1" x14ac:dyDescent="0.2">
      <c r="A65" s="22" t="s">
        <v>151</v>
      </c>
      <c r="B65" s="23" t="s">
        <v>152</v>
      </c>
      <c r="C65" s="23">
        <v>4.68</v>
      </c>
      <c r="D65" s="23">
        <v>10</v>
      </c>
      <c r="E65" s="23">
        <v>2</v>
      </c>
      <c r="F65" s="23">
        <v>1</v>
      </c>
      <c r="G65" s="24">
        <v>4713</v>
      </c>
      <c r="H65" s="25">
        <v>115</v>
      </c>
      <c r="I65" s="26">
        <v>413</v>
      </c>
      <c r="J65" s="27">
        <v>202</v>
      </c>
      <c r="K65" s="28">
        <v>285</v>
      </c>
      <c r="L65" s="29">
        <v>1015</v>
      </c>
    </row>
    <row r="66" spans="1:12" ht="15" customHeight="1" x14ac:dyDescent="0.2">
      <c r="A66" s="22" t="s">
        <v>153</v>
      </c>
      <c r="B66" s="23" t="s">
        <v>154</v>
      </c>
      <c r="C66" s="23">
        <v>4.62</v>
      </c>
      <c r="D66" s="23">
        <v>4.9000000000000004</v>
      </c>
      <c r="E66" s="23">
        <v>1</v>
      </c>
      <c r="F66" s="23">
        <v>1</v>
      </c>
      <c r="G66" s="24">
        <v>0</v>
      </c>
      <c r="H66" s="25">
        <v>0</v>
      </c>
      <c r="I66" s="26">
        <v>0</v>
      </c>
      <c r="J66" s="27">
        <v>0</v>
      </c>
      <c r="K66" s="28">
        <v>0</v>
      </c>
      <c r="L66" s="29">
        <v>0</v>
      </c>
    </row>
    <row r="67" spans="1:12" ht="15" customHeight="1" x14ac:dyDescent="0.2">
      <c r="A67" s="22" t="s">
        <v>155</v>
      </c>
      <c r="B67" s="23" t="s">
        <v>156</v>
      </c>
      <c r="C67" s="23">
        <v>4.3899999999999997</v>
      </c>
      <c r="D67" s="23">
        <v>10</v>
      </c>
      <c r="E67" s="23">
        <v>3</v>
      </c>
      <c r="F67" s="23">
        <v>1</v>
      </c>
      <c r="G67" s="24">
        <v>292</v>
      </c>
      <c r="H67" s="25">
        <v>32</v>
      </c>
      <c r="I67" s="26">
        <v>15</v>
      </c>
      <c r="J67" s="27">
        <v>4</v>
      </c>
      <c r="K67" s="28">
        <v>14</v>
      </c>
      <c r="L67" s="29">
        <v>65</v>
      </c>
    </row>
    <row r="68" spans="1:12" ht="15" customHeight="1" x14ac:dyDescent="0.2">
      <c r="A68" s="22" t="s">
        <v>157</v>
      </c>
      <c r="B68" s="23" t="s">
        <v>158</v>
      </c>
      <c r="C68" s="23">
        <v>4.34</v>
      </c>
      <c r="D68" s="23">
        <v>5.0999999999999996</v>
      </c>
      <c r="E68" s="23">
        <v>2</v>
      </c>
      <c r="F68" s="23">
        <v>1</v>
      </c>
      <c r="G68" s="24">
        <v>15265</v>
      </c>
      <c r="H68" s="25">
        <v>284</v>
      </c>
      <c r="I68" s="26">
        <v>849</v>
      </c>
      <c r="J68" s="27">
        <v>436</v>
      </c>
      <c r="K68" s="28">
        <v>538</v>
      </c>
      <c r="L68" s="29">
        <v>2107</v>
      </c>
    </row>
    <row r="69" spans="1:12" ht="15" customHeight="1" x14ac:dyDescent="0.2">
      <c r="A69" s="22" t="s">
        <v>159</v>
      </c>
      <c r="B69" s="23" t="s">
        <v>160</v>
      </c>
      <c r="C69" s="23">
        <v>4.18</v>
      </c>
      <c r="D69" s="23">
        <v>4.9000000000000004</v>
      </c>
      <c r="E69" s="23">
        <v>3</v>
      </c>
      <c r="F69" s="23">
        <v>1</v>
      </c>
      <c r="G69" s="24">
        <v>10017</v>
      </c>
      <c r="H69" s="25">
        <v>176</v>
      </c>
      <c r="I69" s="26">
        <v>550</v>
      </c>
      <c r="J69" s="27">
        <v>528</v>
      </c>
      <c r="K69" s="28">
        <v>712</v>
      </c>
      <c r="L69" s="29">
        <v>1966</v>
      </c>
    </row>
    <row r="70" spans="1:12" ht="15" customHeight="1" x14ac:dyDescent="0.2">
      <c r="A70" s="22" t="s">
        <v>161</v>
      </c>
      <c r="B70" s="23" t="s">
        <v>162</v>
      </c>
      <c r="C70" s="23">
        <v>3.86</v>
      </c>
      <c r="D70" s="23">
        <v>4.4000000000000004</v>
      </c>
      <c r="E70" s="23">
        <v>2</v>
      </c>
      <c r="F70" s="23">
        <v>1</v>
      </c>
      <c r="G70" s="24">
        <v>10557</v>
      </c>
      <c r="H70" s="25">
        <v>682</v>
      </c>
      <c r="I70" s="26">
        <v>1189</v>
      </c>
      <c r="J70" s="27">
        <v>758</v>
      </c>
      <c r="K70" s="28">
        <v>975</v>
      </c>
      <c r="L70" s="29">
        <v>3604</v>
      </c>
    </row>
    <row r="71" spans="1:12" ht="15" customHeight="1" x14ac:dyDescent="0.2">
      <c r="A71" s="22" t="s">
        <v>163</v>
      </c>
      <c r="B71" s="23" t="s">
        <v>164</v>
      </c>
      <c r="C71" s="23">
        <v>3.68</v>
      </c>
      <c r="D71" s="23">
        <v>10</v>
      </c>
      <c r="E71" s="23">
        <v>2</v>
      </c>
      <c r="F71" s="23">
        <v>1</v>
      </c>
      <c r="G71" s="24">
        <v>1129</v>
      </c>
      <c r="H71" s="25">
        <v>27</v>
      </c>
      <c r="I71" s="26">
        <v>6</v>
      </c>
      <c r="J71" s="27">
        <v>160</v>
      </c>
      <c r="K71" s="28">
        <v>61</v>
      </c>
      <c r="L71" s="29">
        <v>254</v>
      </c>
    </row>
    <row r="72" spans="1:12" ht="15" customHeight="1" x14ac:dyDescent="0.2">
      <c r="A72" s="22" t="s">
        <v>165</v>
      </c>
      <c r="B72" s="23" t="s">
        <v>166</v>
      </c>
      <c r="C72" s="23">
        <v>3.64</v>
      </c>
      <c r="D72" s="23">
        <v>11.2</v>
      </c>
      <c r="E72" s="23">
        <v>2</v>
      </c>
      <c r="F72" s="23">
        <v>1</v>
      </c>
      <c r="G72" s="24">
        <v>869</v>
      </c>
      <c r="H72" s="25">
        <v>27</v>
      </c>
      <c r="I72" s="26">
        <v>12</v>
      </c>
      <c r="J72" s="27">
        <v>48</v>
      </c>
      <c r="K72" s="28">
        <v>43</v>
      </c>
      <c r="L72" s="29">
        <v>130</v>
      </c>
    </row>
    <row r="73" spans="1:12" ht="15" customHeight="1" x14ac:dyDescent="0.2">
      <c r="A73" s="22" t="s">
        <v>167</v>
      </c>
      <c r="B73" s="23" t="s">
        <v>168</v>
      </c>
      <c r="C73" s="23">
        <v>3.61</v>
      </c>
      <c r="D73" s="23">
        <v>11.2</v>
      </c>
      <c r="E73" s="23">
        <v>2</v>
      </c>
      <c r="F73" s="23">
        <v>1</v>
      </c>
      <c r="G73" s="24">
        <v>873</v>
      </c>
      <c r="H73" s="25">
        <v>23</v>
      </c>
      <c r="I73" s="26">
        <v>44</v>
      </c>
      <c r="J73" s="27">
        <v>69</v>
      </c>
      <c r="K73" s="28">
        <v>61</v>
      </c>
      <c r="L73" s="29">
        <v>197</v>
      </c>
    </row>
    <row r="74" spans="1:12" ht="15" customHeight="1" x14ac:dyDescent="0.2">
      <c r="A74" s="22" t="s">
        <v>169</v>
      </c>
      <c r="B74" s="23" t="s">
        <v>170</v>
      </c>
      <c r="C74" s="23">
        <v>3.48</v>
      </c>
      <c r="D74" s="23">
        <v>4.7</v>
      </c>
      <c r="E74" s="23">
        <v>2</v>
      </c>
      <c r="F74" s="23">
        <v>1</v>
      </c>
      <c r="G74" s="24">
        <v>11518</v>
      </c>
      <c r="H74" s="25">
        <v>820</v>
      </c>
      <c r="I74" s="26">
        <v>516</v>
      </c>
      <c r="J74" s="27">
        <v>1004</v>
      </c>
      <c r="K74" s="28">
        <v>342</v>
      </c>
      <c r="L74" s="29">
        <v>2682</v>
      </c>
    </row>
    <row r="75" spans="1:12" ht="15" customHeight="1" x14ac:dyDescent="0.2">
      <c r="A75" s="22" t="s">
        <v>171</v>
      </c>
      <c r="B75" s="23" t="s">
        <v>172</v>
      </c>
      <c r="C75" s="23">
        <v>2.0699999999999998</v>
      </c>
      <c r="D75" s="23">
        <v>4.9000000000000004</v>
      </c>
      <c r="E75" s="23">
        <v>2</v>
      </c>
      <c r="F75" s="23">
        <v>1</v>
      </c>
      <c r="G75" s="24">
        <v>0</v>
      </c>
      <c r="H75" s="25">
        <v>0</v>
      </c>
      <c r="I75" s="26">
        <v>0</v>
      </c>
      <c r="J75" s="27">
        <v>0</v>
      </c>
      <c r="K75" s="28">
        <v>0</v>
      </c>
      <c r="L75" s="29">
        <v>0</v>
      </c>
    </row>
    <row r="76" spans="1:12" ht="15" customHeight="1" x14ac:dyDescent="0.2">
      <c r="A76" s="22" t="s">
        <v>173</v>
      </c>
      <c r="B76" s="23" t="s">
        <v>174</v>
      </c>
      <c r="C76" s="23">
        <v>1.24</v>
      </c>
      <c r="D76" s="23">
        <v>4.3</v>
      </c>
      <c r="E76" s="23">
        <v>1</v>
      </c>
      <c r="F76" s="23">
        <v>1</v>
      </c>
      <c r="G76" s="24">
        <v>3586</v>
      </c>
      <c r="H76" s="25">
        <v>82</v>
      </c>
      <c r="I76" s="26">
        <v>101</v>
      </c>
      <c r="J76" s="27">
        <v>264</v>
      </c>
      <c r="K76" s="28">
        <v>205</v>
      </c>
      <c r="L76" s="29">
        <v>652</v>
      </c>
    </row>
    <row r="77" spans="1:12" ht="15" customHeight="1" x14ac:dyDescent="0.2">
      <c r="A77" s="22" t="s">
        <v>175</v>
      </c>
      <c r="B77" s="23" t="s">
        <v>176</v>
      </c>
      <c r="C77" s="23">
        <v>1.1100000000000001</v>
      </c>
      <c r="D77" s="23">
        <v>10</v>
      </c>
      <c r="E77" s="23">
        <v>2</v>
      </c>
      <c r="F77" s="23">
        <v>1</v>
      </c>
      <c r="G77" s="24">
        <v>0</v>
      </c>
      <c r="H77" s="25">
        <v>0</v>
      </c>
      <c r="I77" s="26">
        <v>0</v>
      </c>
      <c r="J77" s="27">
        <v>0</v>
      </c>
      <c r="K77" s="28">
        <v>0</v>
      </c>
      <c r="L77" s="29">
        <v>0</v>
      </c>
    </row>
    <row r="78" spans="1:12" ht="15" customHeight="1" x14ac:dyDescent="0.2">
      <c r="A78" s="22" t="s">
        <v>177</v>
      </c>
      <c r="B78" s="23" t="s">
        <v>178</v>
      </c>
      <c r="C78" s="23">
        <v>0.92</v>
      </c>
      <c r="D78" s="23">
        <v>10</v>
      </c>
      <c r="E78" s="23">
        <v>2</v>
      </c>
      <c r="F78" s="23">
        <v>1</v>
      </c>
      <c r="G78" s="24">
        <v>0</v>
      </c>
      <c r="H78" s="25">
        <v>0</v>
      </c>
      <c r="I78" s="26">
        <v>0</v>
      </c>
      <c r="J78" s="27">
        <v>0</v>
      </c>
      <c r="K78" s="28">
        <v>0</v>
      </c>
      <c r="L78" s="29">
        <v>0</v>
      </c>
    </row>
    <row r="79" spans="1:12" ht="15" customHeight="1" x14ac:dyDescent="0.2">
      <c r="A79" s="22" t="s">
        <v>179</v>
      </c>
      <c r="B79" s="23" t="s">
        <v>180</v>
      </c>
      <c r="C79" s="23">
        <v>0.56000000000000005</v>
      </c>
      <c r="D79" s="23">
        <v>10</v>
      </c>
      <c r="E79" s="23">
        <v>3</v>
      </c>
      <c r="F79" s="23">
        <v>1</v>
      </c>
      <c r="G79" s="24">
        <v>0</v>
      </c>
      <c r="H79" s="25">
        <v>0</v>
      </c>
      <c r="I79" s="26">
        <v>0</v>
      </c>
      <c r="J79" s="27">
        <v>0</v>
      </c>
      <c r="K79" s="28">
        <v>0</v>
      </c>
      <c r="L79" s="29">
        <v>0</v>
      </c>
    </row>
    <row r="80" spans="1:12" ht="15" customHeight="1" x14ac:dyDescent="0.2">
      <c r="A80" s="22" t="s">
        <v>181</v>
      </c>
      <c r="B80" s="23" t="s">
        <v>182</v>
      </c>
      <c r="C80" s="23">
        <v>0.55000000000000004</v>
      </c>
      <c r="D80" s="23">
        <v>4.5</v>
      </c>
      <c r="E80" s="23">
        <v>3</v>
      </c>
      <c r="F80" s="23">
        <v>1</v>
      </c>
      <c r="G80" s="24">
        <v>0</v>
      </c>
      <c r="H80" s="25">
        <v>0</v>
      </c>
      <c r="I80" s="26">
        <v>0</v>
      </c>
      <c r="J80" s="27">
        <v>0</v>
      </c>
      <c r="K80" s="28">
        <v>0</v>
      </c>
      <c r="L80" s="29">
        <v>0</v>
      </c>
    </row>
    <row r="81" spans="1:12" ht="15" customHeight="1" x14ac:dyDescent="0.2">
      <c r="A81" s="22" t="s">
        <v>183</v>
      </c>
      <c r="B81" s="23" t="s">
        <v>184</v>
      </c>
      <c r="C81" s="23">
        <v>0</v>
      </c>
      <c r="D81" s="23">
        <v>6.1</v>
      </c>
      <c r="E81" s="23">
        <v>2</v>
      </c>
      <c r="F81" s="23">
        <v>1</v>
      </c>
      <c r="G81" s="24">
        <v>0</v>
      </c>
      <c r="H81" s="25">
        <v>0</v>
      </c>
      <c r="I81" s="26">
        <v>0</v>
      </c>
      <c r="J81" s="27">
        <v>0</v>
      </c>
      <c r="K81" s="28">
        <v>0</v>
      </c>
      <c r="L81" s="29">
        <v>0</v>
      </c>
    </row>
    <row r="82" spans="1:12" ht="15" customHeight="1" x14ac:dyDescent="0.2">
      <c r="A82" s="15" t="s">
        <v>185</v>
      </c>
      <c r="B82" s="16" t="s">
        <v>186</v>
      </c>
      <c r="C82" s="35">
        <f>_xlfn.XLOOKUP('2016 Ihlamur'!A82,Veri_Skor!A:A,Veri_Skor!S:S,"-",0)</f>
        <v>5.0000000000000009</v>
      </c>
      <c r="D82" s="36">
        <v>4.5999999999999996</v>
      </c>
      <c r="E82" s="36">
        <v>2</v>
      </c>
      <c r="F82" s="36">
        <v>1</v>
      </c>
      <c r="G82" s="24">
        <v>1</v>
      </c>
      <c r="H82" s="25"/>
      <c r="I82" s="26"/>
      <c r="J82" s="27"/>
      <c r="K82" s="28"/>
      <c r="L82" s="29">
        <v>0</v>
      </c>
    </row>
    <row r="83" spans="1:12" ht="15" customHeight="1" x14ac:dyDescent="0.2">
      <c r="A83" s="15" t="s">
        <v>188</v>
      </c>
      <c r="B83" s="16" t="s">
        <v>189</v>
      </c>
      <c r="C83" s="35">
        <f>_xlfn.XLOOKUP('2016 Ihlamur'!A83,Veri_Skor!A:A,Veri_Skor!S:S,"-",0)</f>
        <v>5.0000000000000009</v>
      </c>
      <c r="D83" s="36">
        <v>4.5999999999999996</v>
      </c>
      <c r="E83" s="36">
        <v>2</v>
      </c>
      <c r="F83" s="36">
        <v>1</v>
      </c>
      <c r="G83" s="24">
        <v>1</v>
      </c>
      <c r="H83" s="25"/>
      <c r="I83" s="26"/>
      <c r="J83" s="27"/>
      <c r="K83" s="28"/>
      <c r="L83" s="29">
        <v>0</v>
      </c>
    </row>
    <row r="84" spans="1:12" ht="15" customHeight="1" x14ac:dyDescent="0.2">
      <c r="B84" s="30" t="s">
        <v>6</v>
      </c>
      <c r="G84" s="31">
        <f t="shared" ref="G84:L84" si="0">SUM(F3:F81)</f>
        <v>79</v>
      </c>
      <c r="H84" s="31">
        <f t="shared" si="0"/>
        <v>2656547</v>
      </c>
      <c r="I84" s="31">
        <f t="shared" si="0"/>
        <v>120215</v>
      </c>
      <c r="J84" s="31">
        <f t="shared" si="0"/>
        <v>138183</v>
      </c>
      <c r="K84" s="31">
        <f t="shared" si="0"/>
        <v>133884</v>
      </c>
      <c r="L84" s="31">
        <f t="shared" si="0"/>
        <v>122602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4"/>
  <sheetViews>
    <sheetView topLeftCell="A59" zoomScaleNormal="100" workbookViewId="0">
      <selection activeCell="A82" sqref="A82:L83"/>
    </sheetView>
  </sheetViews>
  <sheetFormatPr baseColWidth="10" defaultColWidth="8.6640625" defaultRowHeight="15" x14ac:dyDescent="0.2"/>
  <cols>
    <col min="1" max="1" width="15" customWidth="1"/>
    <col min="2" max="3" width="12" customWidth="1"/>
    <col min="4" max="5" width="11" customWidth="1"/>
    <col min="6" max="6" width="14" customWidth="1"/>
    <col min="7" max="10" width="12" customWidth="1"/>
    <col min="11" max="11" width="14" customWidth="1"/>
  </cols>
  <sheetData>
    <row r="1" spans="1:12" ht="3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4.75" customHeight="1" x14ac:dyDescent="0.2">
      <c r="A2" s="20" t="s">
        <v>7</v>
      </c>
      <c r="B2" s="21" t="s">
        <v>8</v>
      </c>
      <c r="C2" s="21" t="s">
        <v>20</v>
      </c>
      <c r="D2" s="21" t="s">
        <v>10</v>
      </c>
      <c r="E2" s="21" t="s">
        <v>21</v>
      </c>
      <c r="F2" s="21" t="s">
        <v>23</v>
      </c>
      <c r="G2" s="21" t="s">
        <v>190</v>
      </c>
      <c r="H2" s="21" t="s">
        <v>191</v>
      </c>
      <c r="I2" s="21" t="s">
        <v>192</v>
      </c>
      <c r="J2" s="21" t="s">
        <v>193</v>
      </c>
      <c r="K2" s="21" t="s">
        <v>194</v>
      </c>
      <c r="L2" s="21" t="s">
        <v>195</v>
      </c>
    </row>
    <row r="3" spans="1:12" ht="15" customHeight="1" x14ac:dyDescent="0.2">
      <c r="A3" s="22" t="s">
        <v>25</v>
      </c>
      <c r="B3" s="23" t="s">
        <v>26</v>
      </c>
      <c r="C3" s="23">
        <v>66.47</v>
      </c>
      <c r="D3" s="23">
        <v>4.8</v>
      </c>
      <c r="E3" s="23">
        <v>4</v>
      </c>
      <c r="F3" s="23">
        <v>1</v>
      </c>
      <c r="G3" s="24">
        <v>348723</v>
      </c>
      <c r="H3" s="25">
        <v>11292</v>
      </c>
      <c r="I3" s="26">
        <v>13464</v>
      </c>
      <c r="J3" s="27">
        <v>6544</v>
      </c>
      <c r="K3" s="28">
        <v>21628</v>
      </c>
      <c r="L3" s="29">
        <v>52928</v>
      </c>
    </row>
    <row r="4" spans="1:12" ht="15" customHeight="1" x14ac:dyDescent="0.2">
      <c r="A4" s="22" t="s">
        <v>29</v>
      </c>
      <c r="B4" s="23" t="s">
        <v>30</v>
      </c>
      <c r="C4" s="23">
        <v>62.65</v>
      </c>
      <c r="D4" s="23">
        <v>5.6</v>
      </c>
      <c r="E4" s="23">
        <v>4</v>
      </c>
      <c r="F4" s="23">
        <v>1</v>
      </c>
      <c r="G4" s="24">
        <v>107616</v>
      </c>
      <c r="H4" s="25">
        <v>3921</v>
      </c>
      <c r="I4" s="26">
        <v>2073</v>
      </c>
      <c r="J4" s="27">
        <v>3097</v>
      </c>
      <c r="K4" s="28">
        <v>7274</v>
      </c>
      <c r="L4" s="29">
        <v>16365</v>
      </c>
    </row>
    <row r="5" spans="1:12" ht="15" customHeight="1" x14ac:dyDescent="0.2">
      <c r="A5" s="22" t="s">
        <v>31</v>
      </c>
      <c r="B5" s="23" t="s">
        <v>32</v>
      </c>
      <c r="C5" s="23">
        <v>53.95</v>
      </c>
      <c r="D5" s="23">
        <v>4.9000000000000004</v>
      </c>
      <c r="E5" s="23">
        <v>4</v>
      </c>
      <c r="F5" s="23">
        <v>1</v>
      </c>
      <c r="G5" s="24">
        <v>147194</v>
      </c>
      <c r="H5" s="25">
        <v>5178</v>
      </c>
      <c r="I5" s="26">
        <v>5459</v>
      </c>
      <c r="J5" s="27">
        <v>17865</v>
      </c>
      <c r="K5" s="28">
        <v>4667</v>
      </c>
      <c r="L5" s="29">
        <v>33169</v>
      </c>
    </row>
    <row r="6" spans="1:12" ht="15" customHeight="1" x14ac:dyDescent="0.2">
      <c r="A6" s="22" t="s">
        <v>33</v>
      </c>
      <c r="B6" s="23" t="s">
        <v>34</v>
      </c>
      <c r="C6" s="23">
        <v>50.77</v>
      </c>
      <c r="D6" s="23">
        <v>4.5</v>
      </c>
      <c r="E6" s="23">
        <v>3</v>
      </c>
      <c r="F6" s="23">
        <v>1</v>
      </c>
      <c r="G6" s="24">
        <v>126564</v>
      </c>
      <c r="H6" s="25">
        <v>2974</v>
      </c>
      <c r="I6" s="26">
        <v>5351</v>
      </c>
      <c r="J6" s="27">
        <v>5546</v>
      </c>
      <c r="K6" s="28">
        <v>2902</v>
      </c>
      <c r="L6" s="29">
        <v>16773</v>
      </c>
    </row>
    <row r="7" spans="1:12" ht="15" customHeight="1" x14ac:dyDescent="0.2">
      <c r="A7" s="22" t="s">
        <v>35</v>
      </c>
      <c r="B7" s="23" t="s">
        <v>36</v>
      </c>
      <c r="C7" s="23">
        <v>47.73</v>
      </c>
      <c r="D7" s="23">
        <v>4.9000000000000004</v>
      </c>
      <c r="E7" s="23">
        <v>3</v>
      </c>
      <c r="F7" s="23">
        <v>1</v>
      </c>
      <c r="G7" s="24">
        <v>133104</v>
      </c>
      <c r="H7" s="25">
        <v>2364</v>
      </c>
      <c r="I7" s="26">
        <v>8159</v>
      </c>
      <c r="J7" s="27">
        <v>2975</v>
      </c>
      <c r="K7" s="28">
        <v>3949</v>
      </c>
      <c r="L7" s="29">
        <v>17447</v>
      </c>
    </row>
    <row r="8" spans="1:12" ht="15" customHeight="1" x14ac:dyDescent="0.2">
      <c r="A8" s="22" t="s">
        <v>37</v>
      </c>
      <c r="B8" s="23" t="s">
        <v>38</v>
      </c>
      <c r="C8" s="23">
        <v>32.549999999999997</v>
      </c>
      <c r="D8" s="23">
        <v>4.7</v>
      </c>
      <c r="E8" s="23">
        <v>4</v>
      </c>
      <c r="F8" s="23">
        <v>1</v>
      </c>
      <c r="G8" s="24">
        <v>108865</v>
      </c>
      <c r="H8" s="25">
        <v>1035</v>
      </c>
      <c r="I8" s="26">
        <v>5739</v>
      </c>
      <c r="J8" s="27">
        <v>3020</v>
      </c>
      <c r="K8" s="28">
        <v>4776</v>
      </c>
      <c r="L8" s="29">
        <v>14570</v>
      </c>
    </row>
    <row r="9" spans="1:12" ht="15" customHeight="1" x14ac:dyDescent="0.2">
      <c r="A9" s="22" t="s">
        <v>39</v>
      </c>
      <c r="B9" s="23" t="s">
        <v>40</v>
      </c>
      <c r="C9" s="23">
        <v>31.7</v>
      </c>
      <c r="D9" s="23">
        <v>5.0999999999999996</v>
      </c>
      <c r="E9" s="23">
        <v>3</v>
      </c>
      <c r="F9" s="23">
        <v>1</v>
      </c>
      <c r="G9" s="24">
        <v>101588</v>
      </c>
      <c r="H9" s="25">
        <v>3669</v>
      </c>
      <c r="I9" s="26">
        <v>10886</v>
      </c>
      <c r="J9" s="27">
        <v>1958</v>
      </c>
      <c r="K9" s="28">
        <v>4269</v>
      </c>
      <c r="L9" s="29">
        <v>20782</v>
      </c>
    </row>
    <row r="10" spans="1:12" ht="15" customHeight="1" x14ac:dyDescent="0.2">
      <c r="A10" s="22" t="s">
        <v>41</v>
      </c>
      <c r="B10" s="23" t="s">
        <v>42</v>
      </c>
      <c r="C10" s="23">
        <v>26.5</v>
      </c>
      <c r="D10" s="23">
        <v>4.9000000000000004</v>
      </c>
      <c r="E10" s="23">
        <v>4</v>
      </c>
      <c r="F10" s="23">
        <v>1</v>
      </c>
      <c r="G10" s="24">
        <v>113921</v>
      </c>
      <c r="H10" s="25">
        <v>5200</v>
      </c>
      <c r="I10" s="26">
        <v>4311</v>
      </c>
      <c r="J10" s="27">
        <v>2730</v>
      </c>
      <c r="K10" s="28">
        <v>1499</v>
      </c>
      <c r="L10" s="29">
        <v>13740</v>
      </c>
    </row>
    <row r="11" spans="1:12" ht="15" customHeight="1" x14ac:dyDescent="0.2">
      <c r="A11" s="22" t="s">
        <v>43</v>
      </c>
      <c r="B11" s="23" t="s">
        <v>44</v>
      </c>
      <c r="C11" s="23">
        <v>23.83</v>
      </c>
      <c r="D11" s="23">
        <v>4.9000000000000004</v>
      </c>
      <c r="E11" s="23">
        <v>4</v>
      </c>
      <c r="F11" s="23">
        <v>1</v>
      </c>
      <c r="G11" s="24">
        <v>96479</v>
      </c>
      <c r="H11" s="25">
        <v>3981</v>
      </c>
      <c r="I11" s="26">
        <v>4010</v>
      </c>
      <c r="J11" s="27">
        <v>5282</v>
      </c>
      <c r="K11" s="28">
        <v>11789</v>
      </c>
      <c r="L11" s="29">
        <v>25062</v>
      </c>
    </row>
    <row r="12" spans="1:12" ht="15" customHeight="1" x14ac:dyDescent="0.2">
      <c r="A12" s="22" t="s">
        <v>45</v>
      </c>
      <c r="B12" s="23" t="s">
        <v>46</v>
      </c>
      <c r="C12" s="23">
        <v>22.42</v>
      </c>
      <c r="D12" s="23">
        <v>4.9000000000000004</v>
      </c>
      <c r="E12" s="23">
        <v>3</v>
      </c>
      <c r="F12" s="23">
        <v>1</v>
      </c>
      <c r="G12" s="24">
        <v>60856</v>
      </c>
      <c r="H12" s="25">
        <v>1474</v>
      </c>
      <c r="I12" s="26">
        <v>354</v>
      </c>
      <c r="J12" s="27">
        <v>2190</v>
      </c>
      <c r="K12" s="28">
        <v>2495</v>
      </c>
      <c r="L12" s="29">
        <v>6513</v>
      </c>
    </row>
    <row r="13" spans="1:12" ht="15" customHeight="1" x14ac:dyDescent="0.2">
      <c r="A13" s="22" t="s">
        <v>47</v>
      </c>
      <c r="B13" s="23" t="s">
        <v>48</v>
      </c>
      <c r="C13" s="23">
        <v>20.05</v>
      </c>
      <c r="D13" s="23">
        <v>5.2</v>
      </c>
      <c r="E13" s="23">
        <v>4</v>
      </c>
      <c r="F13" s="23">
        <v>1</v>
      </c>
      <c r="G13" s="24">
        <v>49795</v>
      </c>
      <c r="H13" s="25">
        <v>1317</v>
      </c>
      <c r="I13" s="26">
        <v>690</v>
      </c>
      <c r="J13" s="27">
        <v>3875</v>
      </c>
      <c r="K13" s="28">
        <v>1438</v>
      </c>
      <c r="L13" s="29">
        <v>7320</v>
      </c>
    </row>
    <row r="14" spans="1:12" ht="15" customHeight="1" x14ac:dyDescent="0.2">
      <c r="A14" s="22" t="s">
        <v>49</v>
      </c>
      <c r="B14" s="23" t="s">
        <v>50</v>
      </c>
      <c r="C14" s="23">
        <v>19.3</v>
      </c>
      <c r="D14" s="23">
        <v>4.9000000000000004</v>
      </c>
      <c r="E14" s="23">
        <v>3</v>
      </c>
      <c r="F14" s="23">
        <v>1</v>
      </c>
      <c r="G14" s="24">
        <v>86848</v>
      </c>
      <c r="H14" s="25">
        <v>6280</v>
      </c>
      <c r="I14" s="26">
        <v>11892</v>
      </c>
      <c r="J14" s="27">
        <v>2580</v>
      </c>
      <c r="K14" s="28">
        <v>9802</v>
      </c>
      <c r="L14" s="29">
        <v>30554</v>
      </c>
    </row>
    <row r="15" spans="1:12" ht="15" customHeight="1" x14ac:dyDescent="0.2">
      <c r="A15" s="22" t="s">
        <v>51</v>
      </c>
      <c r="B15" s="23" t="s">
        <v>52</v>
      </c>
      <c r="C15" s="23">
        <v>19.190000000000001</v>
      </c>
      <c r="D15" s="23">
        <v>6.8</v>
      </c>
      <c r="E15" s="23">
        <v>3</v>
      </c>
      <c r="F15" s="23">
        <v>1</v>
      </c>
      <c r="G15" s="24">
        <v>8951</v>
      </c>
      <c r="H15" s="25">
        <v>1008</v>
      </c>
      <c r="I15" s="26">
        <v>647</v>
      </c>
      <c r="J15" s="27">
        <v>408</v>
      </c>
      <c r="K15" s="28">
        <v>577</v>
      </c>
      <c r="L15" s="29">
        <v>2640</v>
      </c>
    </row>
    <row r="16" spans="1:12" ht="15" customHeight="1" x14ac:dyDescent="0.2">
      <c r="A16" s="22" t="s">
        <v>53</v>
      </c>
      <c r="B16" s="23" t="s">
        <v>54</v>
      </c>
      <c r="C16" s="23">
        <v>18.98</v>
      </c>
      <c r="D16" s="23">
        <v>5</v>
      </c>
      <c r="E16" s="23">
        <v>2</v>
      </c>
      <c r="F16" s="23">
        <v>1</v>
      </c>
      <c r="G16" s="24">
        <v>57947</v>
      </c>
      <c r="H16" s="25">
        <v>4011</v>
      </c>
      <c r="I16" s="26">
        <v>2823</v>
      </c>
      <c r="J16" s="27">
        <v>6836</v>
      </c>
      <c r="K16" s="28">
        <v>2761</v>
      </c>
      <c r="L16" s="29">
        <v>16431</v>
      </c>
    </row>
    <row r="17" spans="1:12" ht="15" customHeight="1" x14ac:dyDescent="0.2">
      <c r="A17" s="22" t="s">
        <v>55</v>
      </c>
      <c r="B17" s="23" t="s">
        <v>56</v>
      </c>
      <c r="C17" s="23">
        <v>17.96</v>
      </c>
      <c r="D17" s="23">
        <v>4.8</v>
      </c>
      <c r="E17" s="23">
        <v>3</v>
      </c>
      <c r="F17" s="23">
        <v>1</v>
      </c>
      <c r="G17" s="24">
        <v>74810</v>
      </c>
      <c r="H17" s="25">
        <v>8086</v>
      </c>
      <c r="I17" s="26">
        <v>5307</v>
      </c>
      <c r="J17" s="27">
        <v>3085</v>
      </c>
      <c r="K17" s="28">
        <v>4248</v>
      </c>
      <c r="L17" s="29">
        <v>20726</v>
      </c>
    </row>
    <row r="18" spans="1:12" ht="15" customHeight="1" x14ac:dyDescent="0.2">
      <c r="A18" s="22" t="s">
        <v>57</v>
      </c>
      <c r="B18" s="23" t="s">
        <v>58</v>
      </c>
      <c r="C18" s="23">
        <v>17.850000000000001</v>
      </c>
      <c r="D18" s="23">
        <v>6.4</v>
      </c>
      <c r="E18" s="23">
        <v>4</v>
      </c>
      <c r="F18" s="23">
        <v>1</v>
      </c>
      <c r="G18" s="24">
        <v>42696</v>
      </c>
      <c r="H18" s="25">
        <v>5239</v>
      </c>
      <c r="I18" s="26">
        <v>1580</v>
      </c>
      <c r="J18" s="27">
        <v>2469</v>
      </c>
      <c r="K18" s="28">
        <v>4615</v>
      </c>
      <c r="L18" s="29">
        <v>13903</v>
      </c>
    </row>
    <row r="19" spans="1:12" ht="15" customHeight="1" x14ac:dyDescent="0.2">
      <c r="A19" s="22" t="s">
        <v>59</v>
      </c>
      <c r="B19" s="23" t="s">
        <v>60</v>
      </c>
      <c r="C19" s="23">
        <v>16.920000000000002</v>
      </c>
      <c r="D19" s="23">
        <v>5.0999999999999996</v>
      </c>
      <c r="E19" s="23">
        <v>2</v>
      </c>
      <c r="F19" s="23">
        <v>1</v>
      </c>
      <c r="G19" s="24">
        <v>74800</v>
      </c>
      <c r="H19" s="25">
        <v>2284</v>
      </c>
      <c r="I19" s="26">
        <v>1805</v>
      </c>
      <c r="J19" s="27">
        <v>1525</v>
      </c>
      <c r="K19" s="28">
        <v>2884</v>
      </c>
      <c r="L19" s="29">
        <v>8498</v>
      </c>
    </row>
    <row r="20" spans="1:12" ht="15" customHeight="1" x14ac:dyDescent="0.2">
      <c r="A20" s="22" t="s">
        <v>61</v>
      </c>
      <c r="B20" s="23" t="s">
        <v>62</v>
      </c>
      <c r="C20" s="23">
        <v>15.95</v>
      </c>
      <c r="D20" s="23">
        <v>6</v>
      </c>
      <c r="E20" s="23">
        <v>2</v>
      </c>
      <c r="F20" s="23">
        <v>1</v>
      </c>
      <c r="G20" s="24">
        <v>14464</v>
      </c>
      <c r="H20" s="25">
        <v>1588</v>
      </c>
      <c r="I20" s="26">
        <v>734</v>
      </c>
      <c r="J20" s="27">
        <v>1514</v>
      </c>
      <c r="K20" s="28">
        <v>331</v>
      </c>
      <c r="L20" s="29">
        <v>4167</v>
      </c>
    </row>
    <row r="21" spans="1:12" ht="15" customHeight="1" x14ac:dyDescent="0.2">
      <c r="A21" s="22" t="s">
        <v>63</v>
      </c>
      <c r="B21" s="23" t="s">
        <v>64</v>
      </c>
      <c r="C21" s="23">
        <v>15.35</v>
      </c>
      <c r="D21" s="23">
        <v>10</v>
      </c>
      <c r="E21" s="23">
        <v>3</v>
      </c>
      <c r="F21" s="23">
        <v>1</v>
      </c>
      <c r="G21" s="24">
        <v>25100</v>
      </c>
      <c r="H21" s="25">
        <v>1569</v>
      </c>
      <c r="I21" s="26">
        <v>999</v>
      </c>
      <c r="J21" s="27">
        <v>1718</v>
      </c>
      <c r="K21" s="28">
        <v>680</v>
      </c>
      <c r="L21" s="29">
        <v>4966</v>
      </c>
    </row>
    <row r="22" spans="1:12" ht="15" customHeight="1" x14ac:dyDescent="0.2">
      <c r="A22" s="22" t="s">
        <v>65</v>
      </c>
      <c r="B22" s="23" t="s">
        <v>66</v>
      </c>
      <c r="C22" s="23">
        <v>14.24</v>
      </c>
      <c r="D22" s="23">
        <v>4.5</v>
      </c>
      <c r="E22" s="23">
        <v>3</v>
      </c>
      <c r="F22" s="23">
        <v>1</v>
      </c>
      <c r="G22" s="24">
        <v>32335</v>
      </c>
      <c r="H22" s="25">
        <v>748</v>
      </c>
      <c r="I22" s="26">
        <v>1543</v>
      </c>
      <c r="J22" s="27">
        <v>2441</v>
      </c>
      <c r="K22" s="28">
        <v>2737</v>
      </c>
      <c r="L22" s="29">
        <v>7469</v>
      </c>
    </row>
    <row r="23" spans="1:12" ht="15" customHeight="1" x14ac:dyDescent="0.2">
      <c r="A23" s="22" t="s">
        <v>67</v>
      </c>
      <c r="B23" s="23" t="s">
        <v>68</v>
      </c>
      <c r="C23" s="23">
        <v>13.57</v>
      </c>
      <c r="D23" s="23">
        <v>4.9000000000000004</v>
      </c>
      <c r="E23" s="23">
        <v>3</v>
      </c>
      <c r="F23" s="23">
        <v>1</v>
      </c>
      <c r="G23" s="24">
        <v>42698</v>
      </c>
      <c r="H23" s="25">
        <v>4215</v>
      </c>
      <c r="I23" s="26">
        <v>4799</v>
      </c>
      <c r="J23" s="27">
        <v>3001</v>
      </c>
      <c r="K23" s="28">
        <v>4328</v>
      </c>
      <c r="L23" s="29">
        <v>16343</v>
      </c>
    </row>
    <row r="24" spans="1:12" ht="15" customHeight="1" x14ac:dyDescent="0.2">
      <c r="A24" s="22" t="s">
        <v>69</v>
      </c>
      <c r="B24" s="23" t="s">
        <v>70</v>
      </c>
      <c r="C24" s="23">
        <v>13.53</v>
      </c>
      <c r="D24" s="23">
        <v>4.9000000000000004</v>
      </c>
      <c r="E24" s="23">
        <v>2</v>
      </c>
      <c r="F24" s="23">
        <v>1</v>
      </c>
      <c r="G24" s="24">
        <v>33366</v>
      </c>
      <c r="H24" s="25">
        <v>1621</v>
      </c>
      <c r="I24" s="26">
        <v>1047</v>
      </c>
      <c r="J24" s="27">
        <v>705</v>
      </c>
      <c r="K24" s="28">
        <v>957</v>
      </c>
      <c r="L24" s="29">
        <v>4330</v>
      </c>
    </row>
    <row r="25" spans="1:12" ht="15" customHeight="1" x14ac:dyDescent="0.2">
      <c r="A25" s="22" t="s">
        <v>71</v>
      </c>
      <c r="B25" s="23" t="s">
        <v>72</v>
      </c>
      <c r="C25" s="23">
        <v>13.5</v>
      </c>
      <c r="D25" s="23">
        <v>6</v>
      </c>
      <c r="E25" s="23">
        <v>3</v>
      </c>
      <c r="F25" s="23">
        <v>1</v>
      </c>
      <c r="G25" s="24">
        <v>35889</v>
      </c>
      <c r="H25" s="25">
        <v>1738</v>
      </c>
      <c r="I25" s="26">
        <v>775</v>
      </c>
      <c r="J25" s="27">
        <v>1517</v>
      </c>
      <c r="K25" s="28">
        <v>1773</v>
      </c>
      <c r="L25" s="29">
        <v>5803</v>
      </c>
    </row>
    <row r="26" spans="1:12" ht="15" customHeight="1" x14ac:dyDescent="0.2">
      <c r="A26" s="22" t="s">
        <v>73</v>
      </c>
      <c r="B26" s="23" t="s">
        <v>74</v>
      </c>
      <c r="C26" s="23">
        <v>13.06</v>
      </c>
      <c r="D26" s="23">
        <v>4.8</v>
      </c>
      <c r="E26" s="23">
        <v>3</v>
      </c>
      <c r="F26" s="23">
        <v>1</v>
      </c>
      <c r="G26" s="24">
        <v>55699</v>
      </c>
      <c r="H26" s="25">
        <v>3978</v>
      </c>
      <c r="I26" s="26">
        <v>3150</v>
      </c>
      <c r="J26" s="27">
        <v>3310</v>
      </c>
      <c r="K26" s="28">
        <v>2618</v>
      </c>
      <c r="L26" s="29">
        <v>13056</v>
      </c>
    </row>
    <row r="27" spans="1:12" ht="15" customHeight="1" x14ac:dyDescent="0.2">
      <c r="A27" s="22" t="s">
        <v>75</v>
      </c>
      <c r="B27" s="23" t="s">
        <v>76</v>
      </c>
      <c r="C27" s="23">
        <v>12.74</v>
      </c>
      <c r="D27" s="23">
        <v>5.6</v>
      </c>
      <c r="E27" s="23">
        <v>3</v>
      </c>
      <c r="F27" s="23">
        <v>1</v>
      </c>
      <c r="G27" s="24">
        <v>11100</v>
      </c>
      <c r="H27" s="25">
        <v>650</v>
      </c>
      <c r="I27" s="26">
        <v>887</v>
      </c>
      <c r="J27" s="27">
        <v>701</v>
      </c>
      <c r="K27" s="28">
        <v>269</v>
      </c>
      <c r="L27" s="29">
        <v>2507</v>
      </c>
    </row>
    <row r="28" spans="1:12" ht="15" customHeight="1" x14ac:dyDescent="0.2">
      <c r="A28" s="22" t="s">
        <v>77</v>
      </c>
      <c r="B28" s="23" t="s">
        <v>78</v>
      </c>
      <c r="C28" s="23">
        <v>12.46</v>
      </c>
      <c r="D28" s="23">
        <v>5.2</v>
      </c>
      <c r="E28" s="23">
        <v>3</v>
      </c>
      <c r="F28" s="23">
        <v>1</v>
      </c>
      <c r="G28" s="24">
        <v>27498</v>
      </c>
      <c r="H28" s="25">
        <v>807</v>
      </c>
      <c r="I28" s="26">
        <v>2004</v>
      </c>
      <c r="J28" s="27">
        <v>583</v>
      </c>
      <c r="K28" s="28">
        <v>1113</v>
      </c>
      <c r="L28" s="29">
        <v>4507</v>
      </c>
    </row>
    <row r="29" spans="1:12" ht="15" customHeight="1" x14ac:dyDescent="0.2">
      <c r="A29" s="22" t="s">
        <v>79</v>
      </c>
      <c r="B29" s="23" t="s">
        <v>80</v>
      </c>
      <c r="C29" s="23">
        <v>11.94</v>
      </c>
      <c r="D29" s="23">
        <v>4.9000000000000004</v>
      </c>
      <c r="E29" s="23">
        <v>3</v>
      </c>
      <c r="F29" s="23">
        <v>1</v>
      </c>
      <c r="G29" s="24">
        <v>33269</v>
      </c>
      <c r="H29" s="25">
        <v>747</v>
      </c>
      <c r="I29" s="26">
        <v>595</v>
      </c>
      <c r="J29" s="27">
        <v>4293</v>
      </c>
      <c r="K29" s="28">
        <v>2819</v>
      </c>
      <c r="L29" s="29">
        <v>8454</v>
      </c>
    </row>
    <row r="30" spans="1:12" ht="15" customHeight="1" x14ac:dyDescent="0.2">
      <c r="A30" s="22" t="s">
        <v>81</v>
      </c>
      <c r="B30" s="23" t="s">
        <v>82</v>
      </c>
      <c r="C30" s="23">
        <v>11.9</v>
      </c>
      <c r="D30" s="23">
        <v>4.9000000000000004</v>
      </c>
      <c r="E30" s="23">
        <v>3</v>
      </c>
      <c r="F30" s="23">
        <v>1</v>
      </c>
      <c r="G30" s="24">
        <v>31527</v>
      </c>
      <c r="H30" s="25">
        <v>582</v>
      </c>
      <c r="I30" s="26">
        <v>764</v>
      </c>
      <c r="J30" s="27">
        <v>1821</v>
      </c>
      <c r="K30" s="28">
        <v>525</v>
      </c>
      <c r="L30" s="29">
        <v>3692</v>
      </c>
    </row>
    <row r="31" spans="1:12" ht="15" customHeight="1" x14ac:dyDescent="0.2">
      <c r="A31" s="22" t="s">
        <v>83</v>
      </c>
      <c r="B31" s="23" t="s">
        <v>84</v>
      </c>
      <c r="C31" s="23">
        <v>11.7</v>
      </c>
      <c r="D31" s="23">
        <v>6</v>
      </c>
      <c r="E31" s="23">
        <v>4</v>
      </c>
      <c r="F31" s="23">
        <v>1</v>
      </c>
      <c r="G31" s="24">
        <v>30051</v>
      </c>
      <c r="H31" s="25">
        <v>1486</v>
      </c>
      <c r="I31" s="26">
        <v>1124</v>
      </c>
      <c r="J31" s="27">
        <v>1189</v>
      </c>
      <c r="K31" s="28">
        <v>386</v>
      </c>
      <c r="L31" s="29">
        <v>4185</v>
      </c>
    </row>
    <row r="32" spans="1:12" ht="15" customHeight="1" x14ac:dyDescent="0.2">
      <c r="A32" s="22" t="s">
        <v>85</v>
      </c>
      <c r="B32" s="23" t="s">
        <v>86</v>
      </c>
      <c r="C32" s="23">
        <v>11.44</v>
      </c>
      <c r="D32" s="23">
        <v>4.5</v>
      </c>
      <c r="E32" s="23">
        <v>4</v>
      </c>
      <c r="F32" s="23">
        <v>1</v>
      </c>
      <c r="G32" s="24">
        <v>33637</v>
      </c>
      <c r="H32" s="25">
        <v>805</v>
      </c>
      <c r="I32" s="26">
        <v>1355</v>
      </c>
      <c r="J32" s="27">
        <v>1323</v>
      </c>
      <c r="K32" s="28">
        <v>1310</v>
      </c>
      <c r="L32" s="29">
        <v>4793</v>
      </c>
    </row>
    <row r="33" spans="1:12" ht="15" customHeight="1" x14ac:dyDescent="0.2">
      <c r="A33" s="22" t="s">
        <v>87</v>
      </c>
      <c r="B33" s="23" t="s">
        <v>88</v>
      </c>
      <c r="C33" s="23">
        <v>10.47</v>
      </c>
      <c r="D33" s="23">
        <v>5.2</v>
      </c>
      <c r="E33" s="23">
        <v>3</v>
      </c>
      <c r="F33" s="23">
        <v>1</v>
      </c>
      <c r="G33" s="24">
        <v>28679</v>
      </c>
      <c r="H33" s="25">
        <v>1256</v>
      </c>
      <c r="I33" s="26">
        <v>1980</v>
      </c>
      <c r="J33" s="27">
        <v>2229</v>
      </c>
      <c r="K33" s="28">
        <v>993</v>
      </c>
      <c r="L33" s="29">
        <v>6458</v>
      </c>
    </row>
    <row r="34" spans="1:12" ht="15" customHeight="1" x14ac:dyDescent="0.2">
      <c r="A34" s="22" t="s">
        <v>89</v>
      </c>
      <c r="B34" s="23" t="s">
        <v>90</v>
      </c>
      <c r="C34" s="23">
        <v>10.4</v>
      </c>
      <c r="D34" s="23">
        <v>9</v>
      </c>
      <c r="E34" s="23">
        <v>2</v>
      </c>
      <c r="F34" s="23">
        <v>1</v>
      </c>
      <c r="G34" s="24">
        <v>6807</v>
      </c>
      <c r="H34" s="25">
        <v>291</v>
      </c>
      <c r="I34" s="26">
        <v>411</v>
      </c>
      <c r="J34" s="27">
        <v>140</v>
      </c>
      <c r="K34" s="28">
        <v>189</v>
      </c>
      <c r="L34" s="29">
        <v>1031</v>
      </c>
    </row>
    <row r="35" spans="1:12" ht="15" customHeight="1" x14ac:dyDescent="0.2">
      <c r="A35" s="22" t="s">
        <v>91</v>
      </c>
      <c r="B35" s="23" t="s">
        <v>92</v>
      </c>
      <c r="C35" s="23">
        <v>10.23</v>
      </c>
      <c r="D35" s="23">
        <v>4.8</v>
      </c>
      <c r="E35" s="23">
        <v>3</v>
      </c>
      <c r="F35" s="23">
        <v>1</v>
      </c>
      <c r="G35" s="24">
        <v>57850</v>
      </c>
      <c r="H35" s="25">
        <v>1804</v>
      </c>
      <c r="I35" s="26">
        <v>2369</v>
      </c>
      <c r="J35" s="27">
        <v>2667</v>
      </c>
      <c r="K35" s="28">
        <v>3048</v>
      </c>
      <c r="L35" s="29">
        <v>9888</v>
      </c>
    </row>
    <row r="36" spans="1:12" ht="15" customHeight="1" x14ac:dyDescent="0.2">
      <c r="A36" s="22" t="s">
        <v>93</v>
      </c>
      <c r="B36" s="23" t="s">
        <v>94</v>
      </c>
      <c r="C36" s="23">
        <v>9.93</v>
      </c>
      <c r="D36" s="23">
        <v>4.5</v>
      </c>
      <c r="E36" s="23">
        <v>3</v>
      </c>
      <c r="F36" s="23">
        <v>1</v>
      </c>
      <c r="G36" s="24">
        <v>27295</v>
      </c>
      <c r="H36" s="25">
        <v>1634</v>
      </c>
      <c r="I36" s="26">
        <v>5355</v>
      </c>
      <c r="J36" s="27">
        <v>1676</v>
      </c>
      <c r="K36" s="28">
        <v>776</v>
      </c>
      <c r="L36" s="29">
        <v>9441</v>
      </c>
    </row>
    <row r="37" spans="1:12" ht="15" customHeight="1" x14ac:dyDescent="0.2">
      <c r="A37" s="22" t="s">
        <v>95</v>
      </c>
      <c r="B37" s="23" t="s">
        <v>96</v>
      </c>
      <c r="C37" s="23">
        <v>9.5</v>
      </c>
      <c r="D37" s="23">
        <v>9</v>
      </c>
      <c r="E37" s="23">
        <v>3</v>
      </c>
      <c r="F37" s="23">
        <v>1</v>
      </c>
      <c r="G37" s="24">
        <v>5939</v>
      </c>
      <c r="H37" s="25">
        <v>403</v>
      </c>
      <c r="I37" s="26">
        <v>343</v>
      </c>
      <c r="J37" s="27">
        <v>164</v>
      </c>
      <c r="K37" s="28">
        <v>39</v>
      </c>
      <c r="L37" s="29">
        <v>949</v>
      </c>
    </row>
    <row r="38" spans="1:12" ht="15" customHeight="1" x14ac:dyDescent="0.2">
      <c r="A38" s="22" t="s">
        <v>97</v>
      </c>
      <c r="B38" s="23" t="s">
        <v>98</v>
      </c>
      <c r="C38" s="23">
        <v>9.18</v>
      </c>
      <c r="D38" s="23">
        <v>10</v>
      </c>
      <c r="E38" s="23">
        <v>2</v>
      </c>
      <c r="F38" s="23">
        <v>1</v>
      </c>
      <c r="G38" s="24">
        <v>5006</v>
      </c>
      <c r="H38" s="25">
        <v>169</v>
      </c>
      <c r="I38" s="26">
        <v>378</v>
      </c>
      <c r="J38" s="27">
        <v>98</v>
      </c>
      <c r="K38" s="28">
        <v>314</v>
      </c>
      <c r="L38" s="29">
        <v>959</v>
      </c>
    </row>
    <row r="39" spans="1:12" ht="15" customHeight="1" x14ac:dyDescent="0.2">
      <c r="A39" s="22" t="s">
        <v>99</v>
      </c>
      <c r="B39" s="23" t="s">
        <v>100</v>
      </c>
      <c r="C39" s="23">
        <v>8.92</v>
      </c>
      <c r="D39" s="23">
        <v>4.9000000000000004</v>
      </c>
      <c r="E39" s="23">
        <v>3</v>
      </c>
      <c r="F39" s="23">
        <v>1</v>
      </c>
      <c r="G39" s="24">
        <v>16645</v>
      </c>
      <c r="H39" s="25">
        <v>507</v>
      </c>
      <c r="I39" s="26">
        <v>637</v>
      </c>
      <c r="J39" s="27">
        <v>323</v>
      </c>
      <c r="K39" s="28">
        <v>570</v>
      </c>
      <c r="L39" s="29">
        <v>2037</v>
      </c>
    </row>
    <row r="40" spans="1:12" ht="15" customHeight="1" x14ac:dyDescent="0.2">
      <c r="A40" s="22" t="s">
        <v>101</v>
      </c>
      <c r="B40" s="23" t="s">
        <v>102</v>
      </c>
      <c r="C40" s="23">
        <v>8.59</v>
      </c>
      <c r="D40" s="23">
        <v>4.7</v>
      </c>
      <c r="E40" s="23">
        <v>2</v>
      </c>
      <c r="F40" s="23">
        <v>1</v>
      </c>
      <c r="G40" s="24">
        <v>25569</v>
      </c>
      <c r="H40" s="25">
        <v>1377</v>
      </c>
      <c r="I40" s="26">
        <v>625</v>
      </c>
      <c r="J40" s="27">
        <v>1362</v>
      </c>
      <c r="K40" s="28">
        <v>664</v>
      </c>
      <c r="L40" s="29">
        <v>4028</v>
      </c>
    </row>
    <row r="41" spans="1:12" ht="15" customHeight="1" x14ac:dyDescent="0.2">
      <c r="A41" s="22" t="s">
        <v>103</v>
      </c>
      <c r="B41" s="23" t="s">
        <v>104</v>
      </c>
      <c r="C41" s="23">
        <v>8.1</v>
      </c>
      <c r="D41" s="23">
        <v>10.4</v>
      </c>
      <c r="E41" s="23">
        <v>3</v>
      </c>
      <c r="F41" s="23">
        <v>1</v>
      </c>
      <c r="G41" s="24">
        <v>6354</v>
      </c>
      <c r="H41" s="25">
        <v>435</v>
      </c>
      <c r="I41" s="26">
        <v>299</v>
      </c>
      <c r="J41" s="27">
        <v>150</v>
      </c>
      <c r="K41" s="28">
        <v>114</v>
      </c>
      <c r="L41" s="29">
        <v>998</v>
      </c>
    </row>
    <row r="42" spans="1:12" ht="15" customHeight="1" x14ac:dyDescent="0.2">
      <c r="A42" s="22" t="s">
        <v>105</v>
      </c>
      <c r="B42" s="23" t="s">
        <v>106</v>
      </c>
      <c r="C42" s="23">
        <v>8.01</v>
      </c>
      <c r="D42" s="23">
        <v>4.9000000000000004</v>
      </c>
      <c r="E42" s="23">
        <v>3</v>
      </c>
      <c r="F42" s="23">
        <v>1</v>
      </c>
      <c r="G42" s="24">
        <v>6183</v>
      </c>
      <c r="H42" s="25">
        <v>399</v>
      </c>
      <c r="I42" s="26">
        <v>309</v>
      </c>
      <c r="J42" s="27">
        <v>20</v>
      </c>
      <c r="K42" s="28">
        <v>340</v>
      </c>
      <c r="L42" s="29">
        <v>1068</v>
      </c>
    </row>
    <row r="43" spans="1:12" ht="15" customHeight="1" x14ac:dyDescent="0.2">
      <c r="A43" s="22" t="s">
        <v>107</v>
      </c>
      <c r="B43" s="23" t="s">
        <v>108</v>
      </c>
      <c r="C43" s="23">
        <v>7.86</v>
      </c>
      <c r="D43" s="23">
        <v>5</v>
      </c>
      <c r="E43" s="23">
        <v>3</v>
      </c>
      <c r="F43" s="23">
        <v>1</v>
      </c>
      <c r="G43" s="24">
        <v>29113</v>
      </c>
      <c r="H43" s="25">
        <v>1073</v>
      </c>
      <c r="I43" s="26">
        <v>1137</v>
      </c>
      <c r="J43" s="27">
        <v>607</v>
      </c>
      <c r="K43" s="28">
        <v>1818</v>
      </c>
      <c r="L43" s="29">
        <v>4635</v>
      </c>
    </row>
    <row r="44" spans="1:12" ht="15" customHeight="1" x14ac:dyDescent="0.2">
      <c r="A44" s="22" t="s">
        <v>109</v>
      </c>
      <c r="B44" s="23" t="s">
        <v>110</v>
      </c>
      <c r="C44" s="23">
        <v>7.74</v>
      </c>
      <c r="D44" s="23">
        <v>9</v>
      </c>
      <c r="E44" s="23">
        <v>3</v>
      </c>
      <c r="F44" s="23">
        <v>1</v>
      </c>
      <c r="G44" s="24">
        <v>3018</v>
      </c>
      <c r="H44" s="25">
        <v>302</v>
      </c>
      <c r="I44" s="26">
        <v>76</v>
      </c>
      <c r="J44" s="27">
        <v>363</v>
      </c>
      <c r="K44" s="28">
        <v>161</v>
      </c>
      <c r="L44" s="29">
        <v>902</v>
      </c>
    </row>
    <row r="45" spans="1:12" ht="15" customHeight="1" x14ac:dyDescent="0.2">
      <c r="A45" s="22" t="s">
        <v>111</v>
      </c>
      <c r="B45" s="23" t="s">
        <v>112</v>
      </c>
      <c r="C45" s="23">
        <v>7.62</v>
      </c>
      <c r="D45" s="23">
        <v>5.2</v>
      </c>
      <c r="E45" s="23">
        <v>3</v>
      </c>
      <c r="F45" s="23">
        <v>1</v>
      </c>
      <c r="G45" s="24">
        <v>18300</v>
      </c>
      <c r="H45" s="25">
        <v>1070</v>
      </c>
      <c r="I45" s="26">
        <v>1148</v>
      </c>
      <c r="J45" s="27">
        <v>837</v>
      </c>
      <c r="K45" s="28">
        <v>790</v>
      </c>
      <c r="L45" s="29">
        <v>3845</v>
      </c>
    </row>
    <row r="46" spans="1:12" ht="15" customHeight="1" x14ac:dyDescent="0.2">
      <c r="A46" s="22" t="s">
        <v>113</v>
      </c>
      <c r="B46" s="23" t="s">
        <v>114</v>
      </c>
      <c r="C46" s="23">
        <v>7.35</v>
      </c>
      <c r="D46" s="23">
        <v>8</v>
      </c>
      <c r="E46" s="23">
        <v>2</v>
      </c>
      <c r="F46" s="23">
        <v>1</v>
      </c>
      <c r="G46" s="24">
        <v>5124</v>
      </c>
      <c r="H46" s="25">
        <v>156</v>
      </c>
      <c r="I46" s="26">
        <v>178</v>
      </c>
      <c r="J46" s="27">
        <v>161</v>
      </c>
      <c r="K46" s="28">
        <v>104</v>
      </c>
      <c r="L46" s="29">
        <v>599</v>
      </c>
    </row>
    <row r="47" spans="1:12" ht="15" customHeight="1" x14ac:dyDescent="0.2">
      <c r="A47" s="22" t="s">
        <v>115</v>
      </c>
      <c r="B47" s="23" t="s">
        <v>116</v>
      </c>
      <c r="C47" s="23">
        <v>7.14</v>
      </c>
      <c r="D47" s="23">
        <v>10</v>
      </c>
      <c r="E47" s="23">
        <v>2</v>
      </c>
      <c r="F47" s="23">
        <v>1</v>
      </c>
      <c r="G47" s="24">
        <v>6388</v>
      </c>
      <c r="H47" s="25">
        <v>531</v>
      </c>
      <c r="I47" s="26">
        <v>419</v>
      </c>
      <c r="J47" s="27">
        <v>470</v>
      </c>
      <c r="K47" s="28">
        <v>420</v>
      </c>
      <c r="L47" s="29">
        <v>1840</v>
      </c>
    </row>
    <row r="48" spans="1:12" ht="15" customHeight="1" x14ac:dyDescent="0.2">
      <c r="A48" s="22" t="s">
        <v>117</v>
      </c>
      <c r="B48" s="23" t="s">
        <v>118</v>
      </c>
      <c r="C48" s="23">
        <v>6.94</v>
      </c>
      <c r="D48" s="23">
        <v>5</v>
      </c>
      <c r="E48" s="23">
        <v>3</v>
      </c>
      <c r="F48" s="23">
        <v>1</v>
      </c>
      <c r="G48" s="24">
        <v>16301</v>
      </c>
      <c r="H48" s="25">
        <v>1004</v>
      </c>
      <c r="I48" s="26">
        <v>644</v>
      </c>
      <c r="J48" s="27">
        <v>1169</v>
      </c>
      <c r="K48" s="28">
        <v>1190</v>
      </c>
      <c r="L48" s="29">
        <v>4007</v>
      </c>
    </row>
    <row r="49" spans="1:12" ht="15" customHeight="1" x14ac:dyDescent="0.2">
      <c r="A49" s="22" t="s">
        <v>119</v>
      </c>
      <c r="B49" s="23" t="s">
        <v>120</v>
      </c>
      <c r="C49" s="23">
        <v>6.89</v>
      </c>
      <c r="D49" s="23">
        <v>9.1999999999999993</v>
      </c>
      <c r="E49" s="23">
        <v>3</v>
      </c>
      <c r="F49" s="23">
        <v>1</v>
      </c>
      <c r="G49" s="24">
        <v>3869</v>
      </c>
      <c r="H49" s="25">
        <v>151</v>
      </c>
      <c r="I49" s="26">
        <v>191</v>
      </c>
      <c r="J49" s="27">
        <v>260</v>
      </c>
      <c r="K49" s="28">
        <v>134</v>
      </c>
      <c r="L49" s="29">
        <v>736</v>
      </c>
    </row>
    <row r="50" spans="1:12" ht="15" customHeight="1" x14ac:dyDescent="0.2">
      <c r="A50" s="22" t="s">
        <v>121</v>
      </c>
      <c r="B50" s="23" t="s">
        <v>122</v>
      </c>
      <c r="C50" s="23">
        <v>6.69</v>
      </c>
      <c r="D50" s="23">
        <v>4.9000000000000004</v>
      </c>
      <c r="E50" s="23">
        <v>2</v>
      </c>
      <c r="F50" s="23">
        <v>1</v>
      </c>
      <c r="G50" s="24">
        <v>28518</v>
      </c>
      <c r="H50" s="25">
        <v>1276</v>
      </c>
      <c r="I50" s="26">
        <v>1729</v>
      </c>
      <c r="J50" s="27">
        <v>1894</v>
      </c>
      <c r="K50" s="28">
        <v>1899</v>
      </c>
      <c r="L50" s="29">
        <v>6798</v>
      </c>
    </row>
    <row r="51" spans="1:12" ht="15" customHeight="1" x14ac:dyDescent="0.2">
      <c r="A51" s="22" t="s">
        <v>123</v>
      </c>
      <c r="B51" s="23" t="s">
        <v>124</v>
      </c>
      <c r="C51" s="23">
        <v>6.61</v>
      </c>
      <c r="D51" s="23">
        <v>4.5</v>
      </c>
      <c r="E51" s="23">
        <v>3</v>
      </c>
      <c r="F51" s="23">
        <v>1</v>
      </c>
      <c r="G51" s="24">
        <v>19734</v>
      </c>
      <c r="H51" s="25">
        <v>521</v>
      </c>
      <c r="I51" s="26">
        <v>2207</v>
      </c>
      <c r="J51" s="27">
        <v>1212</v>
      </c>
      <c r="K51" s="28">
        <v>725</v>
      </c>
      <c r="L51" s="29">
        <v>4665</v>
      </c>
    </row>
    <row r="52" spans="1:12" ht="15" customHeight="1" x14ac:dyDescent="0.2">
      <c r="A52" s="22" t="s">
        <v>125</v>
      </c>
      <c r="B52" s="23" t="s">
        <v>126</v>
      </c>
      <c r="C52" s="23">
        <v>6.44</v>
      </c>
      <c r="D52" s="23">
        <v>10.4</v>
      </c>
      <c r="E52" s="23">
        <v>3</v>
      </c>
      <c r="F52" s="23">
        <v>1</v>
      </c>
      <c r="G52" s="24">
        <v>5425</v>
      </c>
      <c r="H52" s="25">
        <v>308</v>
      </c>
      <c r="I52" s="26">
        <v>127</v>
      </c>
      <c r="J52" s="27">
        <v>438</v>
      </c>
      <c r="K52" s="28">
        <v>227</v>
      </c>
      <c r="L52" s="29">
        <v>1100</v>
      </c>
    </row>
    <row r="53" spans="1:12" ht="15" customHeight="1" x14ac:dyDescent="0.2">
      <c r="A53" s="22" t="s">
        <v>127</v>
      </c>
      <c r="B53" s="23" t="s">
        <v>128</v>
      </c>
      <c r="C53" s="23">
        <v>6.3</v>
      </c>
      <c r="D53" s="23">
        <v>10.4</v>
      </c>
      <c r="E53" s="23">
        <v>3</v>
      </c>
      <c r="F53" s="23">
        <v>1</v>
      </c>
      <c r="G53" s="24">
        <v>3578</v>
      </c>
      <c r="H53" s="25">
        <v>22</v>
      </c>
      <c r="I53" s="26">
        <v>64</v>
      </c>
      <c r="J53" s="27">
        <v>108</v>
      </c>
      <c r="K53" s="28">
        <v>49</v>
      </c>
      <c r="L53" s="29">
        <v>243</v>
      </c>
    </row>
    <row r="54" spans="1:12" ht="15" customHeight="1" x14ac:dyDescent="0.2">
      <c r="A54" s="22" t="s">
        <v>129</v>
      </c>
      <c r="B54" s="23" t="s">
        <v>130</v>
      </c>
      <c r="C54" s="23">
        <v>6.3</v>
      </c>
      <c r="D54" s="23">
        <v>4.9000000000000004</v>
      </c>
      <c r="E54" s="23">
        <v>2</v>
      </c>
      <c r="F54" s="23">
        <v>1</v>
      </c>
      <c r="G54" s="24">
        <v>22469</v>
      </c>
      <c r="H54" s="25">
        <v>819</v>
      </c>
      <c r="I54" s="26">
        <v>1366</v>
      </c>
      <c r="J54" s="27">
        <v>931</v>
      </c>
      <c r="K54" s="28">
        <v>213</v>
      </c>
      <c r="L54" s="29">
        <v>3329</v>
      </c>
    </row>
    <row r="55" spans="1:12" ht="15" customHeight="1" x14ac:dyDescent="0.2">
      <c r="A55" s="22" t="s">
        <v>131</v>
      </c>
      <c r="B55" s="23" t="s">
        <v>132</v>
      </c>
      <c r="C55" s="23">
        <v>6.29</v>
      </c>
      <c r="D55" s="23">
        <v>5.3</v>
      </c>
      <c r="E55" s="23">
        <v>3</v>
      </c>
      <c r="F55" s="23">
        <v>1</v>
      </c>
      <c r="G55" s="24">
        <v>14221</v>
      </c>
      <c r="H55" s="25">
        <v>874</v>
      </c>
      <c r="I55" s="26">
        <v>120</v>
      </c>
      <c r="J55" s="27">
        <v>1252</v>
      </c>
      <c r="K55" s="28">
        <v>501</v>
      </c>
      <c r="L55" s="29">
        <v>2747</v>
      </c>
    </row>
    <row r="56" spans="1:12" ht="15" customHeight="1" x14ac:dyDescent="0.2">
      <c r="A56" s="22" t="s">
        <v>133</v>
      </c>
      <c r="B56" s="23" t="s">
        <v>134</v>
      </c>
      <c r="C56" s="23">
        <v>6.08</v>
      </c>
      <c r="D56" s="23">
        <v>4.9000000000000004</v>
      </c>
      <c r="E56" s="23">
        <v>2</v>
      </c>
      <c r="F56" s="23">
        <v>1</v>
      </c>
      <c r="G56" s="24">
        <v>11278</v>
      </c>
      <c r="H56" s="25">
        <v>649</v>
      </c>
      <c r="I56" s="26">
        <v>400</v>
      </c>
      <c r="J56" s="27">
        <v>181</v>
      </c>
      <c r="K56" s="28">
        <v>398</v>
      </c>
      <c r="L56" s="29">
        <v>1628</v>
      </c>
    </row>
    <row r="57" spans="1:12" ht="15" customHeight="1" x14ac:dyDescent="0.2">
      <c r="A57" s="22" t="s">
        <v>135</v>
      </c>
      <c r="B57" s="23" t="s">
        <v>136</v>
      </c>
      <c r="C57" s="23">
        <v>6.06</v>
      </c>
      <c r="D57" s="23">
        <v>4.7</v>
      </c>
      <c r="E57" s="23">
        <v>2</v>
      </c>
      <c r="F57" s="23">
        <v>1</v>
      </c>
      <c r="G57" s="24">
        <v>13894</v>
      </c>
      <c r="H57" s="25">
        <v>603</v>
      </c>
      <c r="I57" s="26">
        <v>619</v>
      </c>
      <c r="J57" s="27">
        <v>1072</v>
      </c>
      <c r="K57" s="28">
        <v>1682</v>
      </c>
      <c r="L57" s="29">
        <v>3976</v>
      </c>
    </row>
    <row r="58" spans="1:12" ht="15" customHeight="1" x14ac:dyDescent="0.2">
      <c r="A58" s="22" t="s">
        <v>137</v>
      </c>
      <c r="B58" s="23" t="s">
        <v>138</v>
      </c>
      <c r="C58" s="23">
        <v>5.85</v>
      </c>
      <c r="D58" s="23">
        <v>10</v>
      </c>
      <c r="E58" s="23">
        <v>3</v>
      </c>
      <c r="F58" s="23">
        <v>1</v>
      </c>
      <c r="G58" s="24">
        <v>5743</v>
      </c>
      <c r="H58" s="25">
        <v>498</v>
      </c>
      <c r="I58" s="26">
        <v>107</v>
      </c>
      <c r="J58" s="27">
        <v>124</v>
      </c>
      <c r="K58" s="28">
        <v>289</v>
      </c>
      <c r="L58" s="29">
        <v>1018</v>
      </c>
    </row>
    <row r="59" spans="1:12" ht="15" customHeight="1" x14ac:dyDescent="0.2">
      <c r="A59" s="22" t="s">
        <v>139</v>
      </c>
      <c r="B59" s="23" t="s">
        <v>140</v>
      </c>
      <c r="C59" s="23">
        <v>5.79</v>
      </c>
      <c r="D59" s="23">
        <v>8.8000000000000007</v>
      </c>
      <c r="E59" s="23">
        <v>3</v>
      </c>
      <c r="F59" s="23">
        <v>1</v>
      </c>
      <c r="G59" s="24">
        <v>16116</v>
      </c>
      <c r="H59" s="25">
        <v>1275</v>
      </c>
      <c r="I59" s="26">
        <v>1183</v>
      </c>
      <c r="J59" s="27">
        <v>478</v>
      </c>
      <c r="K59" s="28">
        <v>687</v>
      </c>
      <c r="L59" s="29">
        <v>3623</v>
      </c>
    </row>
    <row r="60" spans="1:12" ht="15" customHeight="1" x14ac:dyDescent="0.2">
      <c r="A60" s="22" t="s">
        <v>141</v>
      </c>
      <c r="B60" s="23" t="s">
        <v>142</v>
      </c>
      <c r="C60" s="23">
        <v>5.45</v>
      </c>
      <c r="D60" s="23">
        <v>10</v>
      </c>
      <c r="E60" s="23">
        <v>3</v>
      </c>
      <c r="F60" s="23">
        <v>1</v>
      </c>
      <c r="G60" s="24">
        <v>6763</v>
      </c>
      <c r="H60" s="25">
        <v>91</v>
      </c>
      <c r="I60" s="26">
        <v>345</v>
      </c>
      <c r="J60" s="27">
        <v>43</v>
      </c>
      <c r="K60" s="28">
        <v>112</v>
      </c>
      <c r="L60" s="29">
        <v>591</v>
      </c>
    </row>
    <row r="61" spans="1:12" ht="15" customHeight="1" x14ac:dyDescent="0.2">
      <c r="A61" s="22" t="s">
        <v>143</v>
      </c>
      <c r="B61" s="23" t="s">
        <v>144</v>
      </c>
      <c r="C61" s="23">
        <v>5.37</v>
      </c>
      <c r="D61" s="23">
        <v>4.9000000000000004</v>
      </c>
      <c r="E61" s="23">
        <v>3</v>
      </c>
      <c r="F61" s="23">
        <v>1</v>
      </c>
      <c r="G61" s="24">
        <v>15820</v>
      </c>
      <c r="H61" s="25">
        <v>754</v>
      </c>
      <c r="I61" s="26">
        <v>783</v>
      </c>
      <c r="J61" s="27">
        <v>697</v>
      </c>
      <c r="K61" s="28">
        <v>1166</v>
      </c>
      <c r="L61" s="29">
        <v>3400</v>
      </c>
    </row>
    <row r="62" spans="1:12" ht="15" customHeight="1" x14ac:dyDescent="0.2">
      <c r="A62" s="22" t="s">
        <v>145</v>
      </c>
      <c r="B62" s="23" t="s">
        <v>146</v>
      </c>
      <c r="C62" s="23">
        <v>5.26</v>
      </c>
      <c r="D62" s="23">
        <v>10</v>
      </c>
      <c r="E62" s="23">
        <v>2</v>
      </c>
      <c r="F62" s="23">
        <v>1</v>
      </c>
      <c r="G62" s="24">
        <v>588</v>
      </c>
      <c r="H62" s="25">
        <v>23</v>
      </c>
      <c r="I62" s="26">
        <v>73</v>
      </c>
      <c r="J62" s="27">
        <v>18</v>
      </c>
      <c r="K62" s="28">
        <v>27</v>
      </c>
      <c r="L62" s="29">
        <v>141</v>
      </c>
    </row>
    <row r="63" spans="1:12" ht="15" customHeight="1" x14ac:dyDescent="0.2">
      <c r="A63" s="22" t="s">
        <v>147</v>
      </c>
      <c r="B63" s="23" t="s">
        <v>148</v>
      </c>
      <c r="C63" s="23">
        <v>4.75</v>
      </c>
      <c r="D63" s="23">
        <v>10</v>
      </c>
      <c r="E63" s="23">
        <v>3</v>
      </c>
      <c r="F63" s="23">
        <v>1</v>
      </c>
      <c r="G63" s="24">
        <v>531</v>
      </c>
      <c r="H63" s="25">
        <v>20</v>
      </c>
      <c r="I63" s="26">
        <v>61</v>
      </c>
      <c r="J63" s="27">
        <v>34</v>
      </c>
      <c r="K63" s="28">
        <v>9</v>
      </c>
      <c r="L63" s="29">
        <v>124</v>
      </c>
    </row>
    <row r="64" spans="1:12" ht="15" customHeight="1" x14ac:dyDescent="0.2">
      <c r="A64" s="22" t="s">
        <v>149</v>
      </c>
      <c r="B64" s="23" t="s">
        <v>150</v>
      </c>
      <c r="C64" s="23">
        <v>4.72</v>
      </c>
      <c r="D64" s="23">
        <v>4.9000000000000004</v>
      </c>
      <c r="E64" s="23">
        <v>3</v>
      </c>
      <c r="F64" s="23">
        <v>1</v>
      </c>
      <c r="G64" s="24">
        <v>17220</v>
      </c>
      <c r="H64" s="25">
        <v>580</v>
      </c>
      <c r="I64" s="26">
        <v>454</v>
      </c>
      <c r="J64" s="27">
        <v>276</v>
      </c>
      <c r="K64" s="28">
        <v>870</v>
      </c>
      <c r="L64" s="29">
        <v>2180</v>
      </c>
    </row>
    <row r="65" spans="1:12" ht="15" customHeight="1" x14ac:dyDescent="0.2">
      <c r="A65" s="22" t="s">
        <v>151</v>
      </c>
      <c r="B65" s="23" t="s">
        <v>152</v>
      </c>
      <c r="C65" s="23">
        <v>4.68</v>
      </c>
      <c r="D65" s="23">
        <v>10</v>
      </c>
      <c r="E65" s="23">
        <v>2</v>
      </c>
      <c r="F65" s="23">
        <v>1</v>
      </c>
      <c r="G65" s="24">
        <v>4713</v>
      </c>
      <c r="H65" s="25">
        <v>115</v>
      </c>
      <c r="I65" s="26">
        <v>162</v>
      </c>
      <c r="J65" s="27">
        <v>244</v>
      </c>
      <c r="K65" s="28">
        <v>254</v>
      </c>
      <c r="L65" s="29">
        <v>775</v>
      </c>
    </row>
    <row r="66" spans="1:12" ht="15" customHeight="1" x14ac:dyDescent="0.2">
      <c r="A66" s="22" t="s">
        <v>153</v>
      </c>
      <c r="B66" s="23" t="s">
        <v>154</v>
      </c>
      <c r="C66" s="23">
        <v>4.62</v>
      </c>
      <c r="D66" s="23">
        <v>4.9000000000000004</v>
      </c>
      <c r="E66" s="23">
        <v>1</v>
      </c>
      <c r="F66" s="23">
        <v>1</v>
      </c>
      <c r="G66" s="24">
        <v>0</v>
      </c>
      <c r="H66" s="25">
        <v>0</v>
      </c>
      <c r="I66" s="26">
        <v>0</v>
      </c>
      <c r="J66" s="27">
        <v>0</v>
      </c>
      <c r="K66" s="28">
        <v>0</v>
      </c>
      <c r="L66" s="29">
        <v>0</v>
      </c>
    </row>
    <row r="67" spans="1:12" ht="15" customHeight="1" x14ac:dyDescent="0.2">
      <c r="A67" s="22" t="s">
        <v>155</v>
      </c>
      <c r="B67" s="23" t="s">
        <v>156</v>
      </c>
      <c r="C67" s="23">
        <v>4.3899999999999997</v>
      </c>
      <c r="D67" s="23">
        <v>10</v>
      </c>
      <c r="E67" s="23">
        <v>3</v>
      </c>
      <c r="F67" s="23">
        <v>1</v>
      </c>
      <c r="G67" s="24">
        <v>292</v>
      </c>
      <c r="H67" s="25">
        <v>10</v>
      </c>
      <c r="I67" s="26">
        <v>15</v>
      </c>
      <c r="J67" s="27">
        <v>19</v>
      </c>
      <c r="K67" s="28">
        <v>10</v>
      </c>
      <c r="L67" s="29">
        <v>54</v>
      </c>
    </row>
    <row r="68" spans="1:12" ht="15" customHeight="1" x14ac:dyDescent="0.2">
      <c r="A68" s="22" t="s">
        <v>157</v>
      </c>
      <c r="B68" s="23" t="s">
        <v>158</v>
      </c>
      <c r="C68" s="23">
        <v>4.34</v>
      </c>
      <c r="D68" s="23">
        <v>5.0999999999999996</v>
      </c>
      <c r="E68" s="23">
        <v>2</v>
      </c>
      <c r="F68" s="23">
        <v>1</v>
      </c>
      <c r="G68" s="24">
        <v>15265</v>
      </c>
      <c r="H68" s="25">
        <v>1909</v>
      </c>
      <c r="I68" s="26">
        <v>61</v>
      </c>
      <c r="J68" s="27">
        <v>806</v>
      </c>
      <c r="K68" s="28">
        <v>317</v>
      </c>
      <c r="L68" s="29">
        <v>3093</v>
      </c>
    </row>
    <row r="69" spans="1:12" ht="15" customHeight="1" x14ac:dyDescent="0.2">
      <c r="A69" s="22" t="s">
        <v>159</v>
      </c>
      <c r="B69" s="23" t="s">
        <v>160</v>
      </c>
      <c r="C69" s="23">
        <v>4.18</v>
      </c>
      <c r="D69" s="23">
        <v>4.9000000000000004</v>
      </c>
      <c r="E69" s="23">
        <v>3</v>
      </c>
      <c r="F69" s="23">
        <v>1</v>
      </c>
      <c r="G69" s="24">
        <v>10017</v>
      </c>
      <c r="H69" s="25">
        <v>378</v>
      </c>
      <c r="I69" s="26">
        <v>486</v>
      </c>
      <c r="J69" s="27">
        <v>982</v>
      </c>
      <c r="K69" s="28">
        <v>416</v>
      </c>
      <c r="L69" s="29">
        <v>2262</v>
      </c>
    </row>
    <row r="70" spans="1:12" ht="15" customHeight="1" x14ac:dyDescent="0.2">
      <c r="A70" s="22" t="s">
        <v>161</v>
      </c>
      <c r="B70" s="23" t="s">
        <v>162</v>
      </c>
      <c r="C70" s="23">
        <v>3.86</v>
      </c>
      <c r="D70" s="23">
        <v>4.4000000000000004</v>
      </c>
      <c r="E70" s="23">
        <v>2</v>
      </c>
      <c r="F70" s="23">
        <v>1</v>
      </c>
      <c r="G70" s="24">
        <v>10557</v>
      </c>
      <c r="H70" s="25">
        <v>717</v>
      </c>
      <c r="I70" s="26">
        <v>968</v>
      </c>
      <c r="J70" s="27">
        <v>756</v>
      </c>
      <c r="K70" s="28">
        <v>590</v>
      </c>
      <c r="L70" s="29">
        <v>3031</v>
      </c>
    </row>
    <row r="71" spans="1:12" ht="15" customHeight="1" x14ac:dyDescent="0.2">
      <c r="A71" s="22" t="s">
        <v>163</v>
      </c>
      <c r="B71" s="23" t="s">
        <v>164</v>
      </c>
      <c r="C71" s="23">
        <v>3.68</v>
      </c>
      <c r="D71" s="23">
        <v>10</v>
      </c>
      <c r="E71" s="23">
        <v>2</v>
      </c>
      <c r="F71" s="23">
        <v>1</v>
      </c>
      <c r="G71" s="24">
        <v>1129</v>
      </c>
      <c r="H71" s="25">
        <v>6</v>
      </c>
      <c r="I71" s="26">
        <v>21</v>
      </c>
      <c r="J71" s="27">
        <v>30</v>
      </c>
      <c r="K71" s="28">
        <v>38</v>
      </c>
      <c r="L71" s="29">
        <v>95</v>
      </c>
    </row>
    <row r="72" spans="1:12" ht="15" customHeight="1" x14ac:dyDescent="0.2">
      <c r="A72" s="22" t="s">
        <v>165</v>
      </c>
      <c r="B72" s="23" t="s">
        <v>166</v>
      </c>
      <c r="C72" s="23">
        <v>3.64</v>
      </c>
      <c r="D72" s="23">
        <v>11.2</v>
      </c>
      <c r="E72" s="23">
        <v>2</v>
      </c>
      <c r="F72" s="23">
        <v>1</v>
      </c>
      <c r="G72" s="24">
        <v>869</v>
      </c>
      <c r="H72" s="25">
        <v>43</v>
      </c>
      <c r="I72" s="26">
        <v>32</v>
      </c>
      <c r="J72" s="27">
        <v>71</v>
      </c>
      <c r="K72" s="28">
        <v>45</v>
      </c>
      <c r="L72" s="29">
        <v>191</v>
      </c>
    </row>
    <row r="73" spans="1:12" ht="15" customHeight="1" x14ac:dyDescent="0.2">
      <c r="A73" s="22" t="s">
        <v>167</v>
      </c>
      <c r="B73" s="23" t="s">
        <v>168</v>
      </c>
      <c r="C73" s="23">
        <v>3.61</v>
      </c>
      <c r="D73" s="23">
        <v>11.2</v>
      </c>
      <c r="E73" s="23">
        <v>2</v>
      </c>
      <c r="F73" s="23">
        <v>1</v>
      </c>
      <c r="G73" s="24">
        <v>873</v>
      </c>
      <c r="H73" s="25">
        <v>49</v>
      </c>
      <c r="I73" s="26">
        <v>68</v>
      </c>
      <c r="J73" s="27">
        <v>37</v>
      </c>
      <c r="K73" s="28">
        <v>22</v>
      </c>
      <c r="L73" s="29">
        <v>176</v>
      </c>
    </row>
    <row r="74" spans="1:12" ht="15" customHeight="1" x14ac:dyDescent="0.2">
      <c r="A74" s="22" t="s">
        <v>169</v>
      </c>
      <c r="B74" s="23" t="s">
        <v>170</v>
      </c>
      <c r="C74" s="23">
        <v>3.48</v>
      </c>
      <c r="D74" s="23">
        <v>4.7</v>
      </c>
      <c r="E74" s="23">
        <v>2</v>
      </c>
      <c r="F74" s="23">
        <v>1</v>
      </c>
      <c r="G74" s="24">
        <v>11518</v>
      </c>
      <c r="H74" s="25">
        <v>214</v>
      </c>
      <c r="I74" s="26">
        <v>763</v>
      </c>
      <c r="J74" s="27">
        <v>619</v>
      </c>
      <c r="K74" s="28">
        <v>315</v>
      </c>
      <c r="L74" s="29">
        <v>1911</v>
      </c>
    </row>
    <row r="75" spans="1:12" ht="15" customHeight="1" x14ac:dyDescent="0.2">
      <c r="A75" s="22" t="s">
        <v>171</v>
      </c>
      <c r="B75" s="23" t="s">
        <v>172</v>
      </c>
      <c r="C75" s="23">
        <v>2.0699999999999998</v>
      </c>
      <c r="D75" s="23">
        <v>4.9000000000000004</v>
      </c>
      <c r="E75" s="23">
        <v>2</v>
      </c>
      <c r="F75" s="23">
        <v>1</v>
      </c>
      <c r="G75" s="24">
        <v>0</v>
      </c>
      <c r="H75" s="25">
        <v>0</v>
      </c>
      <c r="I75" s="26">
        <v>0</v>
      </c>
      <c r="J75" s="27">
        <v>0</v>
      </c>
      <c r="K75" s="28">
        <v>0</v>
      </c>
      <c r="L75" s="29">
        <v>0</v>
      </c>
    </row>
    <row r="76" spans="1:12" ht="15" customHeight="1" x14ac:dyDescent="0.2">
      <c r="A76" s="22" t="s">
        <v>173</v>
      </c>
      <c r="B76" s="23" t="s">
        <v>174</v>
      </c>
      <c r="C76" s="23">
        <v>1.24</v>
      </c>
      <c r="D76" s="23">
        <v>4.3</v>
      </c>
      <c r="E76" s="23">
        <v>1</v>
      </c>
      <c r="F76" s="23">
        <v>1</v>
      </c>
      <c r="G76" s="24">
        <v>3586</v>
      </c>
      <c r="H76" s="25">
        <v>177</v>
      </c>
      <c r="I76" s="26">
        <v>164</v>
      </c>
      <c r="J76" s="27">
        <v>21</v>
      </c>
      <c r="K76" s="28">
        <v>51</v>
      </c>
      <c r="L76" s="29">
        <v>413</v>
      </c>
    </row>
    <row r="77" spans="1:12" ht="15" customHeight="1" x14ac:dyDescent="0.2">
      <c r="A77" s="22" t="s">
        <v>175</v>
      </c>
      <c r="B77" s="23" t="s">
        <v>176</v>
      </c>
      <c r="C77" s="23">
        <v>1.1100000000000001</v>
      </c>
      <c r="D77" s="23">
        <v>10</v>
      </c>
      <c r="E77" s="23">
        <v>2</v>
      </c>
      <c r="F77" s="23">
        <v>1</v>
      </c>
      <c r="G77" s="24">
        <v>0</v>
      </c>
      <c r="H77" s="25">
        <v>0</v>
      </c>
      <c r="I77" s="26">
        <v>0</v>
      </c>
      <c r="J77" s="27">
        <v>0</v>
      </c>
      <c r="K77" s="28">
        <v>0</v>
      </c>
      <c r="L77" s="29">
        <v>0</v>
      </c>
    </row>
    <row r="78" spans="1:12" ht="15" customHeight="1" x14ac:dyDescent="0.2">
      <c r="A78" s="22" t="s">
        <v>177</v>
      </c>
      <c r="B78" s="23" t="s">
        <v>178</v>
      </c>
      <c r="C78" s="23">
        <v>0.92</v>
      </c>
      <c r="D78" s="23">
        <v>10</v>
      </c>
      <c r="E78" s="23">
        <v>2</v>
      </c>
      <c r="F78" s="23">
        <v>1</v>
      </c>
      <c r="G78" s="24">
        <v>0</v>
      </c>
      <c r="H78" s="25">
        <v>0</v>
      </c>
      <c r="I78" s="26">
        <v>0</v>
      </c>
      <c r="J78" s="27">
        <v>0</v>
      </c>
      <c r="K78" s="28">
        <v>0</v>
      </c>
      <c r="L78" s="29">
        <v>0</v>
      </c>
    </row>
    <row r="79" spans="1:12" ht="15" customHeight="1" x14ac:dyDescent="0.2">
      <c r="A79" s="22" t="s">
        <v>179</v>
      </c>
      <c r="B79" s="23" t="s">
        <v>180</v>
      </c>
      <c r="C79" s="23">
        <v>0.56000000000000005</v>
      </c>
      <c r="D79" s="23">
        <v>10</v>
      </c>
      <c r="E79" s="23">
        <v>3</v>
      </c>
      <c r="F79" s="23">
        <v>1</v>
      </c>
      <c r="G79" s="24">
        <v>0</v>
      </c>
      <c r="H79" s="25">
        <v>0</v>
      </c>
      <c r="I79" s="26">
        <v>0</v>
      </c>
      <c r="J79" s="27">
        <v>0</v>
      </c>
      <c r="K79" s="28">
        <v>0</v>
      </c>
      <c r="L79" s="29">
        <v>0</v>
      </c>
    </row>
    <row r="80" spans="1:12" ht="15" customHeight="1" x14ac:dyDescent="0.2">
      <c r="A80" s="22" t="s">
        <v>181</v>
      </c>
      <c r="B80" s="23" t="s">
        <v>182</v>
      </c>
      <c r="C80" s="23">
        <v>0.55000000000000004</v>
      </c>
      <c r="D80" s="23">
        <v>4.5</v>
      </c>
      <c r="E80" s="23">
        <v>3</v>
      </c>
      <c r="F80" s="23">
        <v>1</v>
      </c>
      <c r="G80" s="24">
        <v>0</v>
      </c>
      <c r="H80" s="25">
        <v>0</v>
      </c>
      <c r="I80" s="26">
        <v>0</v>
      </c>
      <c r="J80" s="27">
        <v>0</v>
      </c>
      <c r="K80" s="28">
        <v>0</v>
      </c>
      <c r="L80" s="29">
        <v>0</v>
      </c>
    </row>
    <row r="81" spans="1:12" ht="15" customHeight="1" x14ac:dyDescent="0.2">
      <c r="A81" s="22" t="s">
        <v>183</v>
      </c>
      <c r="B81" s="23" t="s">
        <v>184</v>
      </c>
      <c r="C81" s="23">
        <v>0</v>
      </c>
      <c r="D81" s="23">
        <v>6.1</v>
      </c>
      <c r="E81" s="23">
        <v>2</v>
      </c>
      <c r="F81" s="23">
        <v>1</v>
      </c>
      <c r="G81" s="24">
        <v>0</v>
      </c>
      <c r="H81" s="25">
        <v>0</v>
      </c>
      <c r="I81" s="26">
        <v>0</v>
      </c>
      <c r="J81" s="27">
        <v>0</v>
      </c>
      <c r="K81" s="28">
        <v>0</v>
      </c>
      <c r="L81" s="29">
        <v>0</v>
      </c>
    </row>
    <row r="82" spans="1:12" ht="15" customHeight="1" x14ac:dyDescent="0.2">
      <c r="A82" s="15" t="s">
        <v>185</v>
      </c>
      <c r="B82" s="16" t="s">
        <v>186</v>
      </c>
      <c r="C82" s="35">
        <f>_xlfn.XLOOKUP('2016 Ihlamur'!A82,Veri_Skor!A:A,Veri_Skor!S:S,"-",0)</f>
        <v>5.0000000000000009</v>
      </c>
      <c r="D82" s="36">
        <v>4.5999999999999996</v>
      </c>
      <c r="E82" s="36">
        <v>2</v>
      </c>
      <c r="F82" s="36">
        <v>1</v>
      </c>
      <c r="G82" s="24">
        <v>1</v>
      </c>
      <c r="H82" s="25"/>
      <c r="I82" s="26"/>
      <c r="J82" s="27"/>
      <c r="K82" s="28"/>
      <c r="L82" s="29">
        <v>0</v>
      </c>
    </row>
    <row r="83" spans="1:12" ht="15" customHeight="1" x14ac:dyDescent="0.2">
      <c r="A83" s="15" t="s">
        <v>188</v>
      </c>
      <c r="B83" s="16" t="s">
        <v>189</v>
      </c>
      <c r="C83" s="35">
        <f>_xlfn.XLOOKUP('2016 Ihlamur'!A83,Veri_Skor!A:A,Veri_Skor!S:S,"-",0)</f>
        <v>5.0000000000000009</v>
      </c>
      <c r="D83" s="36">
        <v>4.5999999999999996</v>
      </c>
      <c r="E83" s="36">
        <v>2</v>
      </c>
      <c r="F83" s="36">
        <v>1</v>
      </c>
      <c r="G83" s="24">
        <v>1</v>
      </c>
      <c r="H83" s="25"/>
      <c r="I83" s="26"/>
      <c r="J83" s="27"/>
      <c r="K83" s="28"/>
      <c r="L83" s="29">
        <v>0</v>
      </c>
    </row>
    <row r="84" spans="1:12" ht="15" customHeight="1" x14ac:dyDescent="0.2">
      <c r="B84" s="30" t="s">
        <v>6</v>
      </c>
      <c r="G84" s="31">
        <f t="shared" ref="G84:L84" si="0">SUM(F3:F81)</f>
        <v>79</v>
      </c>
      <c r="H84" s="31">
        <f t="shared" si="0"/>
        <v>2656547</v>
      </c>
      <c r="I84" s="31">
        <f t="shared" si="0"/>
        <v>114340</v>
      </c>
      <c r="J84" s="31">
        <f t="shared" si="0"/>
        <v>133203</v>
      </c>
      <c r="K84" s="31">
        <f t="shared" si="0"/>
        <v>121140</v>
      </c>
      <c r="L84" s="31">
        <f t="shared" si="0"/>
        <v>133995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4"/>
  <sheetViews>
    <sheetView topLeftCell="A62" zoomScaleNormal="100" workbookViewId="0">
      <selection activeCell="G99" sqref="G99"/>
    </sheetView>
  </sheetViews>
  <sheetFormatPr baseColWidth="10" defaultColWidth="8.6640625" defaultRowHeight="15" x14ac:dyDescent="0.2"/>
  <cols>
    <col min="1" max="1" width="15" customWidth="1"/>
    <col min="2" max="3" width="12" customWidth="1"/>
    <col min="4" max="5" width="11" customWidth="1"/>
    <col min="6" max="6" width="14" customWidth="1"/>
    <col min="7" max="10" width="12" customWidth="1"/>
    <col min="11" max="11" width="14" customWidth="1"/>
  </cols>
  <sheetData>
    <row r="1" spans="1:12" ht="30" customHeigh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4.75" customHeight="1" x14ac:dyDescent="0.2">
      <c r="A2" s="20" t="s">
        <v>7</v>
      </c>
      <c r="B2" s="21" t="s">
        <v>8</v>
      </c>
      <c r="C2" s="21" t="s">
        <v>20</v>
      </c>
      <c r="D2" s="21" t="s">
        <v>10</v>
      </c>
      <c r="E2" s="21" t="s">
        <v>21</v>
      </c>
      <c r="F2" s="21" t="s">
        <v>23</v>
      </c>
      <c r="G2" s="21" t="s">
        <v>190</v>
      </c>
      <c r="H2" s="21" t="s">
        <v>191</v>
      </c>
      <c r="I2" s="21" t="s">
        <v>192</v>
      </c>
      <c r="J2" s="21" t="s">
        <v>193</v>
      </c>
      <c r="K2" s="21" t="s">
        <v>194</v>
      </c>
      <c r="L2" s="21" t="s">
        <v>195</v>
      </c>
    </row>
    <row r="3" spans="1:12" ht="15" customHeight="1" x14ac:dyDescent="0.2">
      <c r="A3" s="22" t="s">
        <v>25</v>
      </c>
      <c r="B3" s="23" t="s">
        <v>26</v>
      </c>
      <c r="C3" s="23">
        <v>66.47</v>
      </c>
      <c r="D3" s="23">
        <v>4.8</v>
      </c>
      <c r="E3" s="23">
        <v>4</v>
      </c>
      <c r="F3" s="23">
        <v>1</v>
      </c>
      <c r="G3" s="24">
        <v>348723</v>
      </c>
      <c r="H3" s="25">
        <v>13908</v>
      </c>
      <c r="I3" s="26">
        <v>12726</v>
      </c>
      <c r="J3" s="27">
        <v>36987</v>
      </c>
      <c r="K3" s="28">
        <v>50079</v>
      </c>
      <c r="L3" s="29">
        <v>113700</v>
      </c>
    </row>
    <row r="4" spans="1:12" ht="15" customHeight="1" x14ac:dyDescent="0.2">
      <c r="A4" s="22" t="s">
        <v>29</v>
      </c>
      <c r="B4" s="23" t="s">
        <v>30</v>
      </c>
      <c r="C4" s="23">
        <v>62.65</v>
      </c>
      <c r="D4" s="23">
        <v>5.6</v>
      </c>
      <c r="E4" s="23">
        <v>4</v>
      </c>
      <c r="F4" s="23">
        <v>1</v>
      </c>
      <c r="G4" s="24">
        <v>107616</v>
      </c>
      <c r="H4" s="25">
        <v>8492</v>
      </c>
      <c r="I4" s="26">
        <v>6668</v>
      </c>
      <c r="J4" s="27">
        <v>7019</v>
      </c>
      <c r="K4" s="28">
        <v>9949</v>
      </c>
      <c r="L4" s="29">
        <v>32128</v>
      </c>
    </row>
    <row r="5" spans="1:12" ht="15" customHeight="1" x14ac:dyDescent="0.2">
      <c r="A5" s="22" t="s">
        <v>31</v>
      </c>
      <c r="B5" s="23" t="s">
        <v>32</v>
      </c>
      <c r="C5" s="23">
        <v>53.95</v>
      </c>
      <c r="D5" s="23">
        <v>4.9000000000000004</v>
      </c>
      <c r="E5" s="23">
        <v>4</v>
      </c>
      <c r="F5" s="23">
        <v>1</v>
      </c>
      <c r="G5" s="24">
        <v>147194</v>
      </c>
      <c r="H5" s="25">
        <v>5310</v>
      </c>
      <c r="I5" s="26">
        <v>8326</v>
      </c>
      <c r="J5" s="27">
        <v>6812</v>
      </c>
      <c r="K5" s="28">
        <v>9449</v>
      </c>
      <c r="L5" s="29">
        <v>29897</v>
      </c>
    </row>
    <row r="6" spans="1:12" ht="15" customHeight="1" x14ac:dyDescent="0.2">
      <c r="A6" s="22" t="s">
        <v>33</v>
      </c>
      <c r="B6" s="23" t="s">
        <v>34</v>
      </c>
      <c r="C6" s="23">
        <v>50.77</v>
      </c>
      <c r="D6" s="23">
        <v>4.5</v>
      </c>
      <c r="E6" s="23">
        <v>3</v>
      </c>
      <c r="F6" s="23">
        <v>1</v>
      </c>
      <c r="G6" s="24">
        <v>126564</v>
      </c>
      <c r="H6" s="25">
        <v>17174</v>
      </c>
      <c r="I6" s="26">
        <v>8603</v>
      </c>
      <c r="J6" s="27">
        <v>3352</v>
      </c>
      <c r="K6" s="28">
        <v>10197</v>
      </c>
      <c r="L6" s="29">
        <v>39326</v>
      </c>
    </row>
    <row r="7" spans="1:12" ht="15" customHeight="1" x14ac:dyDescent="0.2">
      <c r="A7" s="22" t="s">
        <v>35</v>
      </c>
      <c r="B7" s="23" t="s">
        <v>36</v>
      </c>
      <c r="C7" s="23">
        <v>47.73</v>
      </c>
      <c r="D7" s="23">
        <v>4.9000000000000004</v>
      </c>
      <c r="E7" s="23">
        <v>3</v>
      </c>
      <c r="F7" s="23">
        <v>1</v>
      </c>
      <c r="G7" s="24">
        <v>133104</v>
      </c>
      <c r="H7" s="25">
        <v>6075</v>
      </c>
      <c r="I7" s="26">
        <v>5737</v>
      </c>
      <c r="J7" s="27">
        <v>2495</v>
      </c>
      <c r="K7" s="28">
        <v>10084</v>
      </c>
      <c r="L7" s="29">
        <v>24391</v>
      </c>
    </row>
    <row r="8" spans="1:12" ht="15" customHeight="1" x14ac:dyDescent="0.2">
      <c r="A8" s="22" t="s">
        <v>37</v>
      </c>
      <c r="B8" s="23" t="s">
        <v>38</v>
      </c>
      <c r="C8" s="23">
        <v>32.549999999999997</v>
      </c>
      <c r="D8" s="23">
        <v>4.7</v>
      </c>
      <c r="E8" s="23">
        <v>4</v>
      </c>
      <c r="F8" s="23">
        <v>1</v>
      </c>
      <c r="G8" s="24">
        <v>108865</v>
      </c>
      <c r="H8" s="25">
        <v>14460</v>
      </c>
      <c r="I8" s="26">
        <v>17555</v>
      </c>
      <c r="J8" s="27">
        <v>7934</v>
      </c>
      <c r="K8" s="28">
        <v>7012</v>
      </c>
      <c r="L8" s="29">
        <v>46961</v>
      </c>
    </row>
    <row r="9" spans="1:12" ht="15" customHeight="1" x14ac:dyDescent="0.2">
      <c r="A9" s="22" t="s">
        <v>39</v>
      </c>
      <c r="B9" s="23" t="s">
        <v>40</v>
      </c>
      <c r="C9" s="23">
        <v>31.7</v>
      </c>
      <c r="D9" s="23">
        <v>5.0999999999999996</v>
      </c>
      <c r="E9" s="23">
        <v>3</v>
      </c>
      <c r="F9" s="23">
        <v>1</v>
      </c>
      <c r="G9" s="24">
        <v>101588</v>
      </c>
      <c r="H9" s="25">
        <v>8143</v>
      </c>
      <c r="I9" s="26">
        <v>6849</v>
      </c>
      <c r="J9" s="27">
        <v>3853</v>
      </c>
      <c r="K9" s="28">
        <v>3944</v>
      </c>
      <c r="L9" s="29">
        <v>22789</v>
      </c>
    </row>
    <row r="10" spans="1:12" ht="15" customHeight="1" x14ac:dyDescent="0.2">
      <c r="A10" s="22" t="s">
        <v>41</v>
      </c>
      <c r="B10" s="23" t="s">
        <v>42</v>
      </c>
      <c r="C10" s="23">
        <v>26.5</v>
      </c>
      <c r="D10" s="23">
        <v>4.9000000000000004</v>
      </c>
      <c r="E10" s="23">
        <v>4</v>
      </c>
      <c r="F10" s="23">
        <v>1</v>
      </c>
      <c r="G10" s="24">
        <v>113921</v>
      </c>
      <c r="H10" s="25">
        <v>5916</v>
      </c>
      <c r="I10" s="26">
        <v>3130</v>
      </c>
      <c r="J10" s="27">
        <v>4373</v>
      </c>
      <c r="K10" s="28">
        <v>2377</v>
      </c>
      <c r="L10" s="29">
        <v>15796</v>
      </c>
    </row>
    <row r="11" spans="1:12" ht="15" customHeight="1" x14ac:dyDescent="0.2">
      <c r="A11" s="22" t="s">
        <v>43</v>
      </c>
      <c r="B11" s="23" t="s">
        <v>44</v>
      </c>
      <c r="C11" s="23">
        <v>23.83</v>
      </c>
      <c r="D11" s="23">
        <v>4.9000000000000004</v>
      </c>
      <c r="E11" s="23">
        <v>4</v>
      </c>
      <c r="F11" s="23">
        <v>1</v>
      </c>
      <c r="G11" s="24">
        <v>96479</v>
      </c>
      <c r="H11" s="25">
        <v>1441</v>
      </c>
      <c r="I11" s="26">
        <v>7285</v>
      </c>
      <c r="J11" s="27">
        <v>1399</v>
      </c>
      <c r="K11" s="28">
        <v>436</v>
      </c>
      <c r="L11" s="29">
        <v>10561</v>
      </c>
    </row>
    <row r="12" spans="1:12" ht="15" customHeight="1" x14ac:dyDescent="0.2">
      <c r="A12" s="22" t="s">
        <v>45</v>
      </c>
      <c r="B12" s="23" t="s">
        <v>46</v>
      </c>
      <c r="C12" s="23">
        <v>22.42</v>
      </c>
      <c r="D12" s="23">
        <v>4.9000000000000004</v>
      </c>
      <c r="E12" s="23">
        <v>3</v>
      </c>
      <c r="F12" s="23">
        <v>1</v>
      </c>
      <c r="G12" s="24">
        <v>60856</v>
      </c>
      <c r="H12" s="25">
        <v>1724</v>
      </c>
      <c r="I12" s="26">
        <v>4610</v>
      </c>
      <c r="J12" s="27">
        <v>4028</v>
      </c>
      <c r="K12" s="28">
        <v>2330</v>
      </c>
      <c r="L12" s="29">
        <v>12692</v>
      </c>
    </row>
    <row r="13" spans="1:12" ht="15" customHeight="1" x14ac:dyDescent="0.2">
      <c r="A13" s="22" t="s">
        <v>47</v>
      </c>
      <c r="B13" s="23" t="s">
        <v>48</v>
      </c>
      <c r="C13" s="23">
        <v>20.05</v>
      </c>
      <c r="D13" s="23">
        <v>5.2</v>
      </c>
      <c r="E13" s="23">
        <v>4</v>
      </c>
      <c r="F13" s="23">
        <v>1</v>
      </c>
      <c r="G13" s="24">
        <v>49795</v>
      </c>
      <c r="H13" s="25">
        <v>2009</v>
      </c>
      <c r="I13" s="26">
        <v>3630</v>
      </c>
      <c r="J13" s="27">
        <v>2976</v>
      </c>
      <c r="K13" s="28">
        <v>2778</v>
      </c>
      <c r="L13" s="29">
        <v>11393</v>
      </c>
    </row>
    <row r="14" spans="1:12" ht="15" customHeight="1" x14ac:dyDescent="0.2">
      <c r="A14" s="22" t="s">
        <v>49</v>
      </c>
      <c r="B14" s="23" t="s">
        <v>50</v>
      </c>
      <c r="C14" s="23">
        <v>19.3</v>
      </c>
      <c r="D14" s="23">
        <v>4.9000000000000004</v>
      </c>
      <c r="E14" s="23">
        <v>3</v>
      </c>
      <c r="F14" s="23">
        <v>1</v>
      </c>
      <c r="G14" s="24">
        <v>86848</v>
      </c>
      <c r="H14" s="25">
        <v>4854</v>
      </c>
      <c r="I14" s="26">
        <v>5436</v>
      </c>
      <c r="J14" s="27">
        <v>7668</v>
      </c>
      <c r="K14" s="28">
        <v>4262</v>
      </c>
      <c r="L14" s="29">
        <v>22220</v>
      </c>
    </row>
    <row r="15" spans="1:12" ht="15" customHeight="1" x14ac:dyDescent="0.2">
      <c r="A15" s="22" t="s">
        <v>51</v>
      </c>
      <c r="B15" s="23" t="s">
        <v>52</v>
      </c>
      <c r="C15" s="23">
        <v>19.190000000000001</v>
      </c>
      <c r="D15" s="23">
        <v>6.8</v>
      </c>
      <c r="E15" s="23">
        <v>3</v>
      </c>
      <c r="F15" s="23">
        <v>1</v>
      </c>
      <c r="G15" s="24">
        <v>8951</v>
      </c>
      <c r="H15" s="25">
        <v>346</v>
      </c>
      <c r="I15" s="26">
        <v>541</v>
      </c>
      <c r="J15" s="27">
        <v>466</v>
      </c>
      <c r="K15" s="28">
        <v>630</v>
      </c>
      <c r="L15" s="29">
        <v>1983</v>
      </c>
    </row>
    <row r="16" spans="1:12" ht="15" customHeight="1" x14ac:dyDescent="0.2">
      <c r="A16" s="22" t="s">
        <v>53</v>
      </c>
      <c r="B16" s="23" t="s">
        <v>54</v>
      </c>
      <c r="C16" s="23">
        <v>18.98</v>
      </c>
      <c r="D16" s="23">
        <v>5</v>
      </c>
      <c r="E16" s="23">
        <v>2</v>
      </c>
      <c r="F16" s="23">
        <v>1</v>
      </c>
      <c r="G16" s="24">
        <v>57947</v>
      </c>
      <c r="H16" s="25">
        <v>2370</v>
      </c>
      <c r="I16" s="26">
        <v>1440</v>
      </c>
      <c r="J16" s="27">
        <v>4326</v>
      </c>
      <c r="K16" s="28">
        <v>1503</v>
      </c>
      <c r="L16" s="29">
        <v>9639</v>
      </c>
    </row>
    <row r="17" spans="1:12" ht="15" customHeight="1" x14ac:dyDescent="0.2">
      <c r="A17" s="22" t="s">
        <v>55</v>
      </c>
      <c r="B17" s="23" t="s">
        <v>56</v>
      </c>
      <c r="C17" s="23">
        <v>17.96</v>
      </c>
      <c r="D17" s="23">
        <v>4.8</v>
      </c>
      <c r="E17" s="23">
        <v>3</v>
      </c>
      <c r="F17" s="23">
        <v>1</v>
      </c>
      <c r="G17" s="24">
        <v>74810</v>
      </c>
      <c r="H17" s="25">
        <v>1971</v>
      </c>
      <c r="I17" s="26">
        <v>4206</v>
      </c>
      <c r="J17" s="27">
        <v>1649</v>
      </c>
      <c r="K17" s="28">
        <v>4792</v>
      </c>
      <c r="L17" s="29">
        <v>12618</v>
      </c>
    </row>
    <row r="18" spans="1:12" ht="15" customHeight="1" x14ac:dyDescent="0.2">
      <c r="A18" s="22" t="s">
        <v>57</v>
      </c>
      <c r="B18" s="23" t="s">
        <v>58</v>
      </c>
      <c r="C18" s="23">
        <v>17.850000000000001</v>
      </c>
      <c r="D18" s="23">
        <v>6.4</v>
      </c>
      <c r="E18" s="23">
        <v>4</v>
      </c>
      <c r="F18" s="23">
        <v>1</v>
      </c>
      <c r="G18" s="24">
        <v>42696</v>
      </c>
      <c r="H18" s="25">
        <v>1039</v>
      </c>
      <c r="I18" s="26">
        <v>951</v>
      </c>
      <c r="J18" s="27">
        <v>960</v>
      </c>
      <c r="K18" s="28">
        <v>2288</v>
      </c>
      <c r="L18" s="29">
        <v>5238</v>
      </c>
    </row>
    <row r="19" spans="1:12" ht="15" customHeight="1" x14ac:dyDescent="0.2">
      <c r="A19" s="22" t="s">
        <v>59</v>
      </c>
      <c r="B19" s="23" t="s">
        <v>60</v>
      </c>
      <c r="C19" s="23">
        <v>16.920000000000002</v>
      </c>
      <c r="D19" s="23">
        <v>5.0999999999999996</v>
      </c>
      <c r="E19" s="23">
        <v>2</v>
      </c>
      <c r="F19" s="23">
        <v>1</v>
      </c>
      <c r="G19" s="24">
        <v>74800</v>
      </c>
      <c r="H19" s="25">
        <v>1350</v>
      </c>
      <c r="I19" s="26">
        <v>4672</v>
      </c>
      <c r="J19" s="27">
        <v>3474</v>
      </c>
      <c r="K19" s="28">
        <v>3070</v>
      </c>
      <c r="L19" s="29">
        <v>12566</v>
      </c>
    </row>
    <row r="20" spans="1:12" ht="15" customHeight="1" x14ac:dyDescent="0.2">
      <c r="A20" s="22" t="s">
        <v>61</v>
      </c>
      <c r="B20" s="23" t="s">
        <v>62</v>
      </c>
      <c r="C20" s="23">
        <v>15.95</v>
      </c>
      <c r="D20" s="23">
        <v>6</v>
      </c>
      <c r="E20" s="23">
        <v>2</v>
      </c>
      <c r="F20" s="23">
        <v>1</v>
      </c>
      <c r="G20" s="24">
        <v>14464</v>
      </c>
      <c r="H20" s="25">
        <v>437</v>
      </c>
      <c r="I20" s="26">
        <v>656</v>
      </c>
      <c r="J20" s="27">
        <v>573</v>
      </c>
      <c r="K20" s="28">
        <v>651</v>
      </c>
      <c r="L20" s="29">
        <v>2317</v>
      </c>
    </row>
    <row r="21" spans="1:12" ht="15" customHeight="1" x14ac:dyDescent="0.2">
      <c r="A21" s="22" t="s">
        <v>63</v>
      </c>
      <c r="B21" s="23" t="s">
        <v>64</v>
      </c>
      <c r="C21" s="23">
        <v>15.35</v>
      </c>
      <c r="D21" s="23">
        <v>10</v>
      </c>
      <c r="E21" s="23">
        <v>3</v>
      </c>
      <c r="F21" s="23">
        <v>1</v>
      </c>
      <c r="G21" s="24">
        <v>25100</v>
      </c>
      <c r="H21" s="25">
        <v>956</v>
      </c>
      <c r="I21" s="26">
        <v>336</v>
      </c>
      <c r="J21" s="27">
        <v>979</v>
      </c>
      <c r="K21" s="28">
        <v>342</v>
      </c>
      <c r="L21" s="29">
        <v>2613</v>
      </c>
    </row>
    <row r="22" spans="1:12" ht="15" customHeight="1" x14ac:dyDescent="0.2">
      <c r="A22" s="22" t="s">
        <v>65</v>
      </c>
      <c r="B22" s="23" t="s">
        <v>66</v>
      </c>
      <c r="C22" s="23">
        <v>14.24</v>
      </c>
      <c r="D22" s="23">
        <v>4.5</v>
      </c>
      <c r="E22" s="23">
        <v>3</v>
      </c>
      <c r="F22" s="23">
        <v>1</v>
      </c>
      <c r="G22" s="24">
        <v>32335</v>
      </c>
      <c r="H22" s="25">
        <v>1467</v>
      </c>
      <c r="I22" s="26">
        <v>1710</v>
      </c>
      <c r="J22" s="27">
        <v>2596</v>
      </c>
      <c r="K22" s="28">
        <v>2672</v>
      </c>
      <c r="L22" s="29">
        <v>8445</v>
      </c>
    </row>
    <row r="23" spans="1:12" ht="15" customHeight="1" x14ac:dyDescent="0.2">
      <c r="A23" s="22" t="s">
        <v>67</v>
      </c>
      <c r="B23" s="23" t="s">
        <v>68</v>
      </c>
      <c r="C23" s="23">
        <v>13.57</v>
      </c>
      <c r="D23" s="23">
        <v>4.9000000000000004</v>
      </c>
      <c r="E23" s="23">
        <v>3</v>
      </c>
      <c r="F23" s="23">
        <v>1</v>
      </c>
      <c r="G23" s="24">
        <v>42698</v>
      </c>
      <c r="H23" s="25">
        <v>947</v>
      </c>
      <c r="I23" s="26">
        <v>1335</v>
      </c>
      <c r="J23" s="27">
        <v>2763</v>
      </c>
      <c r="K23" s="28">
        <v>1069</v>
      </c>
      <c r="L23" s="29">
        <v>6114</v>
      </c>
    </row>
    <row r="24" spans="1:12" ht="15" customHeight="1" x14ac:dyDescent="0.2">
      <c r="A24" s="22" t="s">
        <v>69</v>
      </c>
      <c r="B24" s="23" t="s">
        <v>70</v>
      </c>
      <c r="C24" s="23">
        <v>13.53</v>
      </c>
      <c r="D24" s="23">
        <v>4.9000000000000004</v>
      </c>
      <c r="E24" s="23">
        <v>2</v>
      </c>
      <c r="F24" s="23">
        <v>1</v>
      </c>
      <c r="G24" s="24">
        <v>33366</v>
      </c>
      <c r="H24" s="25">
        <v>1432</v>
      </c>
      <c r="I24" s="26">
        <v>480</v>
      </c>
      <c r="J24" s="27">
        <v>2525</v>
      </c>
      <c r="K24" s="28">
        <v>1424</v>
      </c>
      <c r="L24" s="29">
        <v>5861</v>
      </c>
    </row>
    <row r="25" spans="1:12" ht="15" customHeight="1" x14ac:dyDescent="0.2">
      <c r="A25" s="22" t="s">
        <v>71</v>
      </c>
      <c r="B25" s="23" t="s">
        <v>72</v>
      </c>
      <c r="C25" s="23">
        <v>13.5</v>
      </c>
      <c r="D25" s="23">
        <v>6</v>
      </c>
      <c r="E25" s="23">
        <v>3</v>
      </c>
      <c r="F25" s="23">
        <v>1</v>
      </c>
      <c r="G25" s="24">
        <v>35889</v>
      </c>
      <c r="H25" s="25">
        <v>2189</v>
      </c>
      <c r="I25" s="26">
        <v>1629</v>
      </c>
      <c r="J25" s="27">
        <v>1286</v>
      </c>
      <c r="K25" s="28">
        <v>2140</v>
      </c>
      <c r="L25" s="29">
        <v>7244</v>
      </c>
    </row>
    <row r="26" spans="1:12" ht="15" customHeight="1" x14ac:dyDescent="0.2">
      <c r="A26" s="22" t="s">
        <v>73</v>
      </c>
      <c r="B26" s="23" t="s">
        <v>74</v>
      </c>
      <c r="C26" s="23">
        <v>13.06</v>
      </c>
      <c r="D26" s="23">
        <v>4.8</v>
      </c>
      <c r="E26" s="23">
        <v>3</v>
      </c>
      <c r="F26" s="23">
        <v>1</v>
      </c>
      <c r="G26" s="24">
        <v>55699</v>
      </c>
      <c r="H26" s="25">
        <v>576</v>
      </c>
      <c r="I26" s="26">
        <v>1473</v>
      </c>
      <c r="J26" s="27">
        <v>4644</v>
      </c>
      <c r="K26" s="28">
        <v>2301</v>
      </c>
      <c r="L26" s="29">
        <v>8994</v>
      </c>
    </row>
    <row r="27" spans="1:12" ht="15" customHeight="1" x14ac:dyDescent="0.2">
      <c r="A27" s="22" t="s">
        <v>75</v>
      </c>
      <c r="B27" s="23" t="s">
        <v>76</v>
      </c>
      <c r="C27" s="23">
        <v>12.74</v>
      </c>
      <c r="D27" s="23">
        <v>5.6</v>
      </c>
      <c r="E27" s="23">
        <v>3</v>
      </c>
      <c r="F27" s="23">
        <v>1</v>
      </c>
      <c r="G27" s="24">
        <v>11100</v>
      </c>
      <c r="H27" s="25">
        <v>96</v>
      </c>
      <c r="I27" s="26">
        <v>230</v>
      </c>
      <c r="J27" s="27">
        <v>245</v>
      </c>
      <c r="K27" s="28">
        <v>243</v>
      </c>
      <c r="L27" s="29">
        <v>814</v>
      </c>
    </row>
    <row r="28" spans="1:12" ht="15" customHeight="1" x14ac:dyDescent="0.2">
      <c r="A28" s="22" t="s">
        <v>77</v>
      </c>
      <c r="B28" s="23" t="s">
        <v>78</v>
      </c>
      <c r="C28" s="23">
        <v>12.46</v>
      </c>
      <c r="D28" s="23">
        <v>5.2</v>
      </c>
      <c r="E28" s="23">
        <v>3</v>
      </c>
      <c r="F28" s="23">
        <v>1</v>
      </c>
      <c r="G28" s="24">
        <v>27498</v>
      </c>
      <c r="H28" s="25">
        <v>1315</v>
      </c>
      <c r="I28" s="26">
        <v>1629</v>
      </c>
      <c r="J28" s="27">
        <v>308</v>
      </c>
      <c r="K28" s="28">
        <v>659</v>
      </c>
      <c r="L28" s="29">
        <v>3911</v>
      </c>
    </row>
    <row r="29" spans="1:12" ht="15" customHeight="1" x14ac:dyDescent="0.2">
      <c r="A29" s="22" t="s">
        <v>79</v>
      </c>
      <c r="B29" s="23" t="s">
        <v>80</v>
      </c>
      <c r="C29" s="23">
        <v>11.94</v>
      </c>
      <c r="D29" s="23">
        <v>4.9000000000000004</v>
      </c>
      <c r="E29" s="23">
        <v>3</v>
      </c>
      <c r="F29" s="23">
        <v>1</v>
      </c>
      <c r="G29" s="24">
        <v>33269</v>
      </c>
      <c r="H29" s="25">
        <v>1006</v>
      </c>
      <c r="I29" s="26">
        <v>770</v>
      </c>
      <c r="J29" s="27">
        <v>394</v>
      </c>
      <c r="K29" s="28">
        <v>545</v>
      </c>
      <c r="L29" s="29">
        <v>2715</v>
      </c>
    </row>
    <row r="30" spans="1:12" ht="15" customHeight="1" x14ac:dyDescent="0.2">
      <c r="A30" s="22" t="s">
        <v>81</v>
      </c>
      <c r="B30" s="23" t="s">
        <v>82</v>
      </c>
      <c r="C30" s="23">
        <v>11.9</v>
      </c>
      <c r="D30" s="23">
        <v>4.9000000000000004</v>
      </c>
      <c r="E30" s="23">
        <v>3</v>
      </c>
      <c r="F30" s="23">
        <v>1</v>
      </c>
      <c r="G30" s="24">
        <v>31527</v>
      </c>
      <c r="H30" s="25">
        <v>2297</v>
      </c>
      <c r="I30" s="26">
        <v>1111</v>
      </c>
      <c r="J30" s="27">
        <v>984</v>
      </c>
      <c r="K30" s="28">
        <v>792</v>
      </c>
      <c r="L30" s="29">
        <v>5184</v>
      </c>
    </row>
    <row r="31" spans="1:12" ht="15" customHeight="1" x14ac:dyDescent="0.2">
      <c r="A31" s="22" t="s">
        <v>83</v>
      </c>
      <c r="B31" s="23" t="s">
        <v>84</v>
      </c>
      <c r="C31" s="23">
        <v>11.7</v>
      </c>
      <c r="D31" s="23">
        <v>6</v>
      </c>
      <c r="E31" s="23">
        <v>4</v>
      </c>
      <c r="F31" s="23">
        <v>1</v>
      </c>
      <c r="G31" s="24">
        <v>30051</v>
      </c>
      <c r="H31" s="25">
        <v>1944</v>
      </c>
      <c r="I31" s="26">
        <v>6225</v>
      </c>
      <c r="J31" s="27">
        <v>1486</v>
      </c>
      <c r="K31" s="28">
        <v>2593</v>
      </c>
      <c r="L31" s="29">
        <v>12248</v>
      </c>
    </row>
    <row r="32" spans="1:12" ht="15" customHeight="1" x14ac:dyDescent="0.2">
      <c r="A32" s="22" t="s">
        <v>85</v>
      </c>
      <c r="B32" s="23" t="s">
        <v>86</v>
      </c>
      <c r="C32" s="23">
        <v>11.44</v>
      </c>
      <c r="D32" s="23">
        <v>4.5</v>
      </c>
      <c r="E32" s="23">
        <v>4</v>
      </c>
      <c r="F32" s="23">
        <v>1</v>
      </c>
      <c r="G32" s="24">
        <v>33637</v>
      </c>
      <c r="H32" s="25">
        <v>3291</v>
      </c>
      <c r="I32" s="26">
        <v>2083</v>
      </c>
      <c r="J32" s="27">
        <v>812</v>
      </c>
      <c r="K32" s="28">
        <v>1389</v>
      </c>
      <c r="L32" s="29">
        <v>7575</v>
      </c>
    </row>
    <row r="33" spans="1:12" ht="15" customHeight="1" x14ac:dyDescent="0.2">
      <c r="A33" s="22" t="s">
        <v>87</v>
      </c>
      <c r="B33" s="23" t="s">
        <v>88</v>
      </c>
      <c r="C33" s="23">
        <v>10.47</v>
      </c>
      <c r="D33" s="23">
        <v>5.2</v>
      </c>
      <c r="E33" s="23">
        <v>3</v>
      </c>
      <c r="F33" s="23">
        <v>1</v>
      </c>
      <c r="G33" s="24">
        <v>28679</v>
      </c>
      <c r="H33" s="25">
        <v>72</v>
      </c>
      <c r="I33" s="26">
        <v>483</v>
      </c>
      <c r="J33" s="27">
        <v>869</v>
      </c>
      <c r="K33" s="28">
        <v>682</v>
      </c>
      <c r="L33" s="29">
        <v>2106</v>
      </c>
    </row>
    <row r="34" spans="1:12" ht="15" customHeight="1" x14ac:dyDescent="0.2">
      <c r="A34" s="22" t="s">
        <v>89</v>
      </c>
      <c r="B34" s="23" t="s">
        <v>90</v>
      </c>
      <c r="C34" s="23">
        <v>10.4</v>
      </c>
      <c r="D34" s="23">
        <v>9</v>
      </c>
      <c r="E34" s="23">
        <v>2</v>
      </c>
      <c r="F34" s="23">
        <v>1</v>
      </c>
      <c r="G34" s="24">
        <v>6807</v>
      </c>
      <c r="H34" s="25">
        <v>75</v>
      </c>
      <c r="I34" s="26">
        <v>212</v>
      </c>
      <c r="J34" s="27">
        <v>300</v>
      </c>
      <c r="K34" s="28">
        <v>234</v>
      </c>
      <c r="L34" s="29">
        <v>821</v>
      </c>
    </row>
    <row r="35" spans="1:12" ht="15" customHeight="1" x14ac:dyDescent="0.2">
      <c r="A35" s="22" t="s">
        <v>91</v>
      </c>
      <c r="B35" s="23" t="s">
        <v>92</v>
      </c>
      <c r="C35" s="23">
        <v>10.23</v>
      </c>
      <c r="D35" s="23">
        <v>4.8</v>
      </c>
      <c r="E35" s="23">
        <v>3</v>
      </c>
      <c r="F35" s="23">
        <v>1</v>
      </c>
      <c r="G35" s="24">
        <v>57850</v>
      </c>
      <c r="H35" s="25">
        <v>4437</v>
      </c>
      <c r="I35" s="26">
        <v>1582</v>
      </c>
      <c r="J35" s="27">
        <v>5036</v>
      </c>
      <c r="K35" s="28">
        <v>2594</v>
      </c>
      <c r="L35" s="29">
        <v>13649</v>
      </c>
    </row>
    <row r="36" spans="1:12" ht="15" customHeight="1" x14ac:dyDescent="0.2">
      <c r="A36" s="22" t="s">
        <v>93</v>
      </c>
      <c r="B36" s="23" t="s">
        <v>94</v>
      </c>
      <c r="C36" s="23">
        <v>9.93</v>
      </c>
      <c r="D36" s="23">
        <v>4.5</v>
      </c>
      <c r="E36" s="23">
        <v>3</v>
      </c>
      <c r="F36" s="23">
        <v>1</v>
      </c>
      <c r="G36" s="24">
        <v>27295</v>
      </c>
      <c r="H36" s="25">
        <v>382</v>
      </c>
      <c r="I36" s="26">
        <v>475</v>
      </c>
      <c r="J36" s="27">
        <v>2897</v>
      </c>
      <c r="K36" s="28">
        <v>1016</v>
      </c>
      <c r="L36" s="29">
        <v>4770</v>
      </c>
    </row>
    <row r="37" spans="1:12" ht="15" customHeight="1" x14ac:dyDescent="0.2">
      <c r="A37" s="22" t="s">
        <v>95</v>
      </c>
      <c r="B37" s="23" t="s">
        <v>96</v>
      </c>
      <c r="C37" s="23">
        <v>9.5</v>
      </c>
      <c r="D37" s="23">
        <v>9</v>
      </c>
      <c r="E37" s="23">
        <v>3</v>
      </c>
      <c r="F37" s="23">
        <v>1</v>
      </c>
      <c r="G37" s="24">
        <v>5939</v>
      </c>
      <c r="H37" s="25">
        <v>189</v>
      </c>
      <c r="I37" s="26">
        <v>78</v>
      </c>
      <c r="J37" s="27">
        <v>347</v>
      </c>
      <c r="K37" s="28">
        <v>181</v>
      </c>
      <c r="L37" s="29">
        <v>795</v>
      </c>
    </row>
    <row r="38" spans="1:12" ht="15" customHeight="1" x14ac:dyDescent="0.2">
      <c r="A38" s="22" t="s">
        <v>97</v>
      </c>
      <c r="B38" s="23" t="s">
        <v>98</v>
      </c>
      <c r="C38" s="23">
        <v>9.18</v>
      </c>
      <c r="D38" s="23">
        <v>10</v>
      </c>
      <c r="E38" s="23">
        <v>2</v>
      </c>
      <c r="F38" s="23">
        <v>1</v>
      </c>
      <c r="G38" s="24">
        <v>5006</v>
      </c>
      <c r="H38" s="25">
        <v>400</v>
      </c>
      <c r="I38" s="26">
        <v>250</v>
      </c>
      <c r="J38" s="27">
        <v>236</v>
      </c>
      <c r="K38" s="28">
        <v>202</v>
      </c>
      <c r="L38" s="29">
        <v>1088</v>
      </c>
    </row>
    <row r="39" spans="1:12" ht="15" customHeight="1" x14ac:dyDescent="0.2">
      <c r="A39" s="22" t="s">
        <v>99</v>
      </c>
      <c r="B39" s="23" t="s">
        <v>100</v>
      </c>
      <c r="C39" s="23">
        <v>8.92</v>
      </c>
      <c r="D39" s="23">
        <v>4.9000000000000004</v>
      </c>
      <c r="E39" s="23">
        <v>3</v>
      </c>
      <c r="F39" s="23">
        <v>1</v>
      </c>
      <c r="G39" s="24">
        <v>16645</v>
      </c>
      <c r="H39" s="25">
        <v>256</v>
      </c>
      <c r="I39" s="26">
        <v>1926</v>
      </c>
      <c r="J39" s="27">
        <v>1323</v>
      </c>
      <c r="K39" s="28">
        <v>758</v>
      </c>
      <c r="L39" s="29">
        <v>4263</v>
      </c>
    </row>
    <row r="40" spans="1:12" ht="15" customHeight="1" x14ac:dyDescent="0.2">
      <c r="A40" s="22" t="s">
        <v>101</v>
      </c>
      <c r="B40" s="23" t="s">
        <v>102</v>
      </c>
      <c r="C40" s="23">
        <v>8.59</v>
      </c>
      <c r="D40" s="23">
        <v>4.7</v>
      </c>
      <c r="E40" s="23">
        <v>2</v>
      </c>
      <c r="F40" s="23">
        <v>1</v>
      </c>
      <c r="G40" s="24">
        <v>25569</v>
      </c>
      <c r="H40" s="25">
        <v>1459</v>
      </c>
      <c r="I40" s="26">
        <v>1245</v>
      </c>
      <c r="J40" s="27">
        <v>706</v>
      </c>
      <c r="K40" s="28">
        <v>484</v>
      </c>
      <c r="L40" s="29">
        <v>3894</v>
      </c>
    </row>
    <row r="41" spans="1:12" ht="15" customHeight="1" x14ac:dyDescent="0.2">
      <c r="A41" s="22" t="s">
        <v>103</v>
      </c>
      <c r="B41" s="23" t="s">
        <v>104</v>
      </c>
      <c r="C41" s="23">
        <v>8.1</v>
      </c>
      <c r="D41" s="23">
        <v>10.4</v>
      </c>
      <c r="E41" s="23">
        <v>3</v>
      </c>
      <c r="F41" s="23">
        <v>1</v>
      </c>
      <c r="G41" s="24">
        <v>6354</v>
      </c>
      <c r="H41" s="25">
        <v>110</v>
      </c>
      <c r="I41" s="26">
        <v>175</v>
      </c>
      <c r="J41" s="27">
        <v>88</v>
      </c>
      <c r="K41" s="28">
        <v>179</v>
      </c>
      <c r="L41" s="29">
        <v>552</v>
      </c>
    </row>
    <row r="42" spans="1:12" ht="15" customHeight="1" x14ac:dyDescent="0.2">
      <c r="A42" s="22" t="s">
        <v>105</v>
      </c>
      <c r="B42" s="23" t="s">
        <v>106</v>
      </c>
      <c r="C42" s="23">
        <v>8.01</v>
      </c>
      <c r="D42" s="23">
        <v>4.9000000000000004</v>
      </c>
      <c r="E42" s="23">
        <v>3</v>
      </c>
      <c r="F42" s="23">
        <v>1</v>
      </c>
      <c r="G42" s="24">
        <v>6183</v>
      </c>
      <c r="H42" s="25">
        <v>329</v>
      </c>
      <c r="I42" s="26">
        <v>513</v>
      </c>
      <c r="J42" s="27">
        <v>577</v>
      </c>
      <c r="K42" s="28">
        <v>499</v>
      </c>
      <c r="L42" s="29">
        <v>1918</v>
      </c>
    </row>
    <row r="43" spans="1:12" ht="15" customHeight="1" x14ac:dyDescent="0.2">
      <c r="A43" s="22" t="s">
        <v>107</v>
      </c>
      <c r="B43" s="23" t="s">
        <v>108</v>
      </c>
      <c r="C43" s="23">
        <v>7.86</v>
      </c>
      <c r="D43" s="23">
        <v>5</v>
      </c>
      <c r="E43" s="23">
        <v>3</v>
      </c>
      <c r="F43" s="23">
        <v>1</v>
      </c>
      <c r="G43" s="24">
        <v>29113</v>
      </c>
      <c r="H43" s="25">
        <v>1656</v>
      </c>
      <c r="I43" s="26">
        <v>1023</v>
      </c>
      <c r="J43" s="27">
        <v>539</v>
      </c>
      <c r="K43" s="28">
        <v>1919</v>
      </c>
      <c r="L43" s="29">
        <v>5137</v>
      </c>
    </row>
    <row r="44" spans="1:12" ht="15" customHeight="1" x14ac:dyDescent="0.2">
      <c r="A44" s="22" t="s">
        <v>109</v>
      </c>
      <c r="B44" s="23" t="s">
        <v>110</v>
      </c>
      <c r="C44" s="23">
        <v>7.74</v>
      </c>
      <c r="D44" s="23">
        <v>9</v>
      </c>
      <c r="E44" s="23">
        <v>3</v>
      </c>
      <c r="F44" s="23">
        <v>1</v>
      </c>
      <c r="G44" s="24">
        <v>3018</v>
      </c>
      <c r="H44" s="25">
        <v>231</v>
      </c>
      <c r="I44" s="26">
        <v>170</v>
      </c>
      <c r="J44" s="27">
        <v>57</v>
      </c>
      <c r="K44" s="28">
        <v>222</v>
      </c>
      <c r="L44" s="29">
        <v>680</v>
      </c>
    </row>
    <row r="45" spans="1:12" ht="15" customHeight="1" x14ac:dyDescent="0.2">
      <c r="A45" s="22" t="s">
        <v>111</v>
      </c>
      <c r="B45" s="23" t="s">
        <v>112</v>
      </c>
      <c r="C45" s="23">
        <v>7.62</v>
      </c>
      <c r="D45" s="23">
        <v>5.2</v>
      </c>
      <c r="E45" s="23">
        <v>3</v>
      </c>
      <c r="F45" s="23">
        <v>1</v>
      </c>
      <c r="G45" s="24">
        <v>18300</v>
      </c>
      <c r="H45" s="25">
        <v>676</v>
      </c>
      <c r="I45" s="26">
        <v>727</v>
      </c>
      <c r="J45" s="27">
        <v>2000</v>
      </c>
      <c r="K45" s="28">
        <v>1276</v>
      </c>
      <c r="L45" s="29">
        <v>4679</v>
      </c>
    </row>
    <row r="46" spans="1:12" ht="15" customHeight="1" x14ac:dyDescent="0.2">
      <c r="A46" s="22" t="s">
        <v>113</v>
      </c>
      <c r="B46" s="23" t="s">
        <v>114</v>
      </c>
      <c r="C46" s="23">
        <v>7.35</v>
      </c>
      <c r="D46" s="23">
        <v>8</v>
      </c>
      <c r="E46" s="23">
        <v>2</v>
      </c>
      <c r="F46" s="23">
        <v>1</v>
      </c>
      <c r="G46" s="24">
        <v>5124</v>
      </c>
      <c r="H46" s="25">
        <v>380</v>
      </c>
      <c r="I46" s="26">
        <v>209</v>
      </c>
      <c r="J46" s="27">
        <v>330</v>
      </c>
      <c r="K46" s="28">
        <v>260</v>
      </c>
      <c r="L46" s="29">
        <v>1179</v>
      </c>
    </row>
    <row r="47" spans="1:12" ht="15" customHeight="1" x14ac:dyDescent="0.2">
      <c r="A47" s="22" t="s">
        <v>115</v>
      </c>
      <c r="B47" s="23" t="s">
        <v>116</v>
      </c>
      <c r="C47" s="23">
        <v>7.14</v>
      </c>
      <c r="D47" s="23">
        <v>10</v>
      </c>
      <c r="E47" s="23">
        <v>2</v>
      </c>
      <c r="F47" s="23">
        <v>1</v>
      </c>
      <c r="G47" s="24">
        <v>6388</v>
      </c>
      <c r="H47" s="25">
        <v>415</v>
      </c>
      <c r="I47" s="26">
        <v>405</v>
      </c>
      <c r="J47" s="27">
        <v>324</v>
      </c>
      <c r="K47" s="28">
        <v>478</v>
      </c>
      <c r="L47" s="29">
        <v>1622</v>
      </c>
    </row>
    <row r="48" spans="1:12" ht="15" customHeight="1" x14ac:dyDescent="0.2">
      <c r="A48" s="22" t="s">
        <v>117</v>
      </c>
      <c r="B48" s="23" t="s">
        <v>118</v>
      </c>
      <c r="C48" s="23">
        <v>6.94</v>
      </c>
      <c r="D48" s="23">
        <v>5</v>
      </c>
      <c r="E48" s="23">
        <v>3</v>
      </c>
      <c r="F48" s="23">
        <v>1</v>
      </c>
      <c r="G48" s="24">
        <v>16301</v>
      </c>
      <c r="H48" s="25">
        <v>614</v>
      </c>
      <c r="I48" s="26">
        <v>349</v>
      </c>
      <c r="J48" s="27">
        <v>307</v>
      </c>
      <c r="K48" s="28">
        <v>374</v>
      </c>
      <c r="L48" s="29">
        <v>1644</v>
      </c>
    </row>
    <row r="49" spans="1:12" ht="15" customHeight="1" x14ac:dyDescent="0.2">
      <c r="A49" s="22" t="s">
        <v>119</v>
      </c>
      <c r="B49" s="23" t="s">
        <v>120</v>
      </c>
      <c r="C49" s="23">
        <v>6.89</v>
      </c>
      <c r="D49" s="23">
        <v>9.1999999999999993</v>
      </c>
      <c r="E49" s="23">
        <v>3</v>
      </c>
      <c r="F49" s="23">
        <v>1</v>
      </c>
      <c r="G49" s="24">
        <v>3869</v>
      </c>
      <c r="H49" s="25">
        <v>424</v>
      </c>
      <c r="I49" s="26">
        <v>209</v>
      </c>
      <c r="J49" s="27">
        <v>126</v>
      </c>
      <c r="K49" s="28">
        <v>223</v>
      </c>
      <c r="L49" s="29">
        <v>982</v>
      </c>
    </row>
    <row r="50" spans="1:12" ht="15" customHeight="1" x14ac:dyDescent="0.2">
      <c r="A50" s="22" t="s">
        <v>121</v>
      </c>
      <c r="B50" s="23" t="s">
        <v>122</v>
      </c>
      <c r="C50" s="23">
        <v>6.69</v>
      </c>
      <c r="D50" s="23">
        <v>4.9000000000000004</v>
      </c>
      <c r="E50" s="23">
        <v>2</v>
      </c>
      <c r="F50" s="23">
        <v>1</v>
      </c>
      <c r="G50" s="24">
        <v>28518</v>
      </c>
      <c r="H50" s="25">
        <v>695</v>
      </c>
      <c r="I50" s="26">
        <v>665</v>
      </c>
      <c r="J50" s="27">
        <v>502</v>
      </c>
      <c r="K50" s="28">
        <v>1079</v>
      </c>
      <c r="L50" s="29">
        <v>2941</v>
      </c>
    </row>
    <row r="51" spans="1:12" ht="15" customHeight="1" x14ac:dyDescent="0.2">
      <c r="A51" s="22" t="s">
        <v>123</v>
      </c>
      <c r="B51" s="23" t="s">
        <v>124</v>
      </c>
      <c r="C51" s="23">
        <v>6.61</v>
      </c>
      <c r="D51" s="23">
        <v>4.5</v>
      </c>
      <c r="E51" s="23">
        <v>3</v>
      </c>
      <c r="F51" s="23">
        <v>1</v>
      </c>
      <c r="G51" s="24">
        <v>19734</v>
      </c>
      <c r="H51" s="25">
        <v>173</v>
      </c>
      <c r="I51" s="26">
        <v>643</v>
      </c>
      <c r="J51" s="27">
        <v>509</v>
      </c>
      <c r="K51" s="28">
        <v>456</v>
      </c>
      <c r="L51" s="29">
        <v>1781</v>
      </c>
    </row>
    <row r="52" spans="1:12" ht="15" customHeight="1" x14ac:dyDescent="0.2">
      <c r="A52" s="22" t="s">
        <v>125</v>
      </c>
      <c r="B52" s="23" t="s">
        <v>126</v>
      </c>
      <c r="C52" s="23">
        <v>6.44</v>
      </c>
      <c r="D52" s="23">
        <v>10.4</v>
      </c>
      <c r="E52" s="23">
        <v>3</v>
      </c>
      <c r="F52" s="23">
        <v>1</v>
      </c>
      <c r="G52" s="24">
        <v>5425</v>
      </c>
      <c r="H52" s="25">
        <v>183</v>
      </c>
      <c r="I52" s="26">
        <v>459</v>
      </c>
      <c r="J52" s="27">
        <v>134</v>
      </c>
      <c r="K52" s="28">
        <v>239</v>
      </c>
      <c r="L52" s="29">
        <v>1015</v>
      </c>
    </row>
    <row r="53" spans="1:12" ht="15" customHeight="1" x14ac:dyDescent="0.2">
      <c r="A53" s="22" t="s">
        <v>127</v>
      </c>
      <c r="B53" s="23" t="s">
        <v>128</v>
      </c>
      <c r="C53" s="23">
        <v>6.3</v>
      </c>
      <c r="D53" s="23">
        <v>10.4</v>
      </c>
      <c r="E53" s="23">
        <v>3</v>
      </c>
      <c r="F53" s="23">
        <v>1</v>
      </c>
      <c r="G53" s="24">
        <v>3578</v>
      </c>
      <c r="H53" s="25">
        <v>306</v>
      </c>
      <c r="I53" s="26">
        <v>537</v>
      </c>
      <c r="J53" s="27">
        <v>129</v>
      </c>
      <c r="K53" s="28">
        <v>70</v>
      </c>
      <c r="L53" s="29">
        <v>1042</v>
      </c>
    </row>
    <row r="54" spans="1:12" ht="15" customHeight="1" x14ac:dyDescent="0.2">
      <c r="A54" s="22" t="s">
        <v>129</v>
      </c>
      <c r="B54" s="23" t="s">
        <v>130</v>
      </c>
      <c r="C54" s="23">
        <v>6.3</v>
      </c>
      <c r="D54" s="23">
        <v>4.9000000000000004</v>
      </c>
      <c r="E54" s="23">
        <v>2</v>
      </c>
      <c r="F54" s="23">
        <v>1</v>
      </c>
      <c r="G54" s="24">
        <v>22469</v>
      </c>
      <c r="H54" s="25">
        <v>865</v>
      </c>
      <c r="I54" s="26">
        <v>1283</v>
      </c>
      <c r="J54" s="27">
        <v>1571</v>
      </c>
      <c r="K54" s="28">
        <v>986</v>
      </c>
      <c r="L54" s="29">
        <v>4705</v>
      </c>
    </row>
    <row r="55" spans="1:12" ht="15" customHeight="1" x14ac:dyDescent="0.2">
      <c r="A55" s="22" t="s">
        <v>131</v>
      </c>
      <c r="B55" s="23" t="s">
        <v>132</v>
      </c>
      <c r="C55" s="23">
        <v>6.29</v>
      </c>
      <c r="D55" s="23">
        <v>5.3</v>
      </c>
      <c r="E55" s="23">
        <v>3</v>
      </c>
      <c r="F55" s="23">
        <v>1</v>
      </c>
      <c r="G55" s="24">
        <v>14221</v>
      </c>
      <c r="H55" s="25">
        <v>169</v>
      </c>
      <c r="I55" s="26">
        <v>545</v>
      </c>
      <c r="J55" s="27">
        <v>432</v>
      </c>
      <c r="K55" s="28">
        <v>589</v>
      </c>
      <c r="L55" s="29">
        <v>1735</v>
      </c>
    </row>
    <row r="56" spans="1:12" ht="15" customHeight="1" x14ac:dyDescent="0.2">
      <c r="A56" s="22" t="s">
        <v>133</v>
      </c>
      <c r="B56" s="23" t="s">
        <v>134</v>
      </c>
      <c r="C56" s="23">
        <v>6.08</v>
      </c>
      <c r="D56" s="23">
        <v>4.9000000000000004</v>
      </c>
      <c r="E56" s="23">
        <v>2</v>
      </c>
      <c r="F56" s="23">
        <v>1</v>
      </c>
      <c r="G56" s="24">
        <v>11278</v>
      </c>
      <c r="H56" s="25">
        <v>370</v>
      </c>
      <c r="I56" s="26">
        <v>136</v>
      </c>
      <c r="J56" s="27">
        <v>443</v>
      </c>
      <c r="K56" s="28">
        <v>406</v>
      </c>
      <c r="L56" s="29">
        <v>1355</v>
      </c>
    </row>
    <row r="57" spans="1:12" ht="15" customHeight="1" x14ac:dyDescent="0.2">
      <c r="A57" s="22" t="s">
        <v>135</v>
      </c>
      <c r="B57" s="23" t="s">
        <v>136</v>
      </c>
      <c r="C57" s="23">
        <v>6.06</v>
      </c>
      <c r="D57" s="23">
        <v>4.7</v>
      </c>
      <c r="E57" s="23">
        <v>2</v>
      </c>
      <c r="F57" s="23">
        <v>1</v>
      </c>
      <c r="G57" s="24">
        <v>13894</v>
      </c>
      <c r="H57" s="25">
        <v>1811</v>
      </c>
      <c r="I57" s="26">
        <v>620</v>
      </c>
      <c r="J57" s="27">
        <v>1004</v>
      </c>
      <c r="K57" s="28">
        <v>509</v>
      </c>
      <c r="L57" s="29">
        <v>3944</v>
      </c>
    </row>
    <row r="58" spans="1:12" ht="15" customHeight="1" x14ac:dyDescent="0.2">
      <c r="A58" s="22" t="s">
        <v>137</v>
      </c>
      <c r="B58" s="23" t="s">
        <v>138</v>
      </c>
      <c r="C58" s="23">
        <v>5.85</v>
      </c>
      <c r="D58" s="23">
        <v>10</v>
      </c>
      <c r="E58" s="23">
        <v>3</v>
      </c>
      <c r="F58" s="23">
        <v>1</v>
      </c>
      <c r="G58" s="24">
        <v>5743</v>
      </c>
      <c r="H58" s="25">
        <v>369</v>
      </c>
      <c r="I58" s="26">
        <v>81</v>
      </c>
      <c r="J58" s="27">
        <v>264</v>
      </c>
      <c r="K58" s="28">
        <v>793</v>
      </c>
      <c r="L58" s="29">
        <v>1507</v>
      </c>
    </row>
    <row r="59" spans="1:12" ht="15" customHeight="1" x14ac:dyDescent="0.2">
      <c r="A59" s="22" t="s">
        <v>139</v>
      </c>
      <c r="B59" s="23" t="s">
        <v>140</v>
      </c>
      <c r="C59" s="23">
        <v>5.79</v>
      </c>
      <c r="D59" s="23">
        <v>8.8000000000000007</v>
      </c>
      <c r="E59" s="23">
        <v>3</v>
      </c>
      <c r="F59" s="23">
        <v>1</v>
      </c>
      <c r="G59" s="24">
        <v>16116</v>
      </c>
      <c r="H59" s="25">
        <v>453</v>
      </c>
      <c r="I59" s="26">
        <v>945</v>
      </c>
      <c r="J59" s="27">
        <v>915</v>
      </c>
      <c r="K59" s="28">
        <v>342</v>
      </c>
      <c r="L59" s="29">
        <v>2655</v>
      </c>
    </row>
    <row r="60" spans="1:12" ht="15" customHeight="1" x14ac:dyDescent="0.2">
      <c r="A60" s="22" t="s">
        <v>141</v>
      </c>
      <c r="B60" s="23" t="s">
        <v>142</v>
      </c>
      <c r="C60" s="23">
        <v>5.45</v>
      </c>
      <c r="D60" s="23">
        <v>10</v>
      </c>
      <c r="E60" s="23">
        <v>3</v>
      </c>
      <c r="F60" s="23">
        <v>1</v>
      </c>
      <c r="G60" s="24">
        <v>6763</v>
      </c>
      <c r="H60" s="25">
        <v>399</v>
      </c>
      <c r="I60" s="26">
        <v>153</v>
      </c>
      <c r="J60" s="27">
        <v>308</v>
      </c>
      <c r="K60" s="28">
        <v>61</v>
      </c>
      <c r="L60" s="29">
        <v>921</v>
      </c>
    </row>
    <row r="61" spans="1:12" ht="15" customHeight="1" x14ac:dyDescent="0.2">
      <c r="A61" s="22" t="s">
        <v>143</v>
      </c>
      <c r="B61" s="23" t="s">
        <v>144</v>
      </c>
      <c r="C61" s="23">
        <v>5.37</v>
      </c>
      <c r="D61" s="23">
        <v>4.9000000000000004</v>
      </c>
      <c r="E61" s="23">
        <v>3</v>
      </c>
      <c r="F61" s="23">
        <v>1</v>
      </c>
      <c r="G61" s="24">
        <v>15820</v>
      </c>
      <c r="H61" s="25">
        <v>550</v>
      </c>
      <c r="I61" s="26">
        <v>1121</v>
      </c>
      <c r="J61" s="27">
        <v>1114</v>
      </c>
      <c r="K61" s="28">
        <v>780</v>
      </c>
      <c r="L61" s="29">
        <v>3565</v>
      </c>
    </row>
    <row r="62" spans="1:12" ht="15" customHeight="1" x14ac:dyDescent="0.2">
      <c r="A62" s="22" t="s">
        <v>145</v>
      </c>
      <c r="B62" s="23" t="s">
        <v>146</v>
      </c>
      <c r="C62" s="23">
        <v>5.26</v>
      </c>
      <c r="D62" s="23">
        <v>10</v>
      </c>
      <c r="E62" s="23">
        <v>2</v>
      </c>
      <c r="F62" s="23">
        <v>1</v>
      </c>
      <c r="G62" s="24">
        <v>588</v>
      </c>
      <c r="H62" s="25">
        <v>24</v>
      </c>
      <c r="I62" s="26">
        <v>7</v>
      </c>
      <c r="J62" s="27">
        <v>3</v>
      </c>
      <c r="K62" s="28">
        <v>19</v>
      </c>
      <c r="L62" s="29">
        <v>53</v>
      </c>
    </row>
    <row r="63" spans="1:12" ht="15" customHeight="1" x14ac:dyDescent="0.2">
      <c r="A63" s="22" t="s">
        <v>147</v>
      </c>
      <c r="B63" s="23" t="s">
        <v>148</v>
      </c>
      <c r="C63" s="23">
        <v>4.75</v>
      </c>
      <c r="D63" s="23">
        <v>10</v>
      </c>
      <c r="E63" s="23">
        <v>3</v>
      </c>
      <c r="F63" s="23">
        <v>1</v>
      </c>
      <c r="G63" s="24">
        <v>531</v>
      </c>
      <c r="H63" s="25">
        <v>21</v>
      </c>
      <c r="I63" s="26">
        <v>24</v>
      </c>
      <c r="J63" s="27">
        <v>28</v>
      </c>
      <c r="K63" s="28">
        <v>50</v>
      </c>
      <c r="L63" s="29">
        <v>123</v>
      </c>
    </row>
    <row r="64" spans="1:12" ht="15" customHeight="1" x14ac:dyDescent="0.2">
      <c r="A64" s="22" t="s">
        <v>149</v>
      </c>
      <c r="B64" s="23" t="s">
        <v>150</v>
      </c>
      <c r="C64" s="23">
        <v>4.72</v>
      </c>
      <c r="D64" s="23">
        <v>4.9000000000000004</v>
      </c>
      <c r="E64" s="23">
        <v>3</v>
      </c>
      <c r="F64" s="23">
        <v>1</v>
      </c>
      <c r="G64" s="24">
        <v>17220</v>
      </c>
      <c r="H64" s="25">
        <v>748</v>
      </c>
      <c r="I64" s="26">
        <v>303</v>
      </c>
      <c r="J64" s="27">
        <v>605</v>
      </c>
      <c r="K64" s="28">
        <v>830</v>
      </c>
      <c r="L64" s="29">
        <v>2486</v>
      </c>
    </row>
    <row r="65" spans="1:12" ht="15" customHeight="1" x14ac:dyDescent="0.2">
      <c r="A65" s="22" t="s">
        <v>151</v>
      </c>
      <c r="B65" s="23" t="s">
        <v>152</v>
      </c>
      <c r="C65" s="23">
        <v>4.68</v>
      </c>
      <c r="D65" s="23">
        <v>10</v>
      </c>
      <c r="E65" s="23">
        <v>2</v>
      </c>
      <c r="F65" s="23">
        <v>1</v>
      </c>
      <c r="G65" s="24">
        <v>4713</v>
      </c>
      <c r="H65" s="25">
        <v>175</v>
      </c>
      <c r="I65" s="26">
        <v>333</v>
      </c>
      <c r="J65" s="27">
        <v>199</v>
      </c>
      <c r="K65" s="28">
        <v>324</v>
      </c>
      <c r="L65" s="29">
        <v>1031</v>
      </c>
    </row>
    <row r="66" spans="1:12" ht="15" customHeight="1" x14ac:dyDescent="0.2">
      <c r="A66" s="22" t="s">
        <v>153</v>
      </c>
      <c r="B66" s="23" t="s">
        <v>154</v>
      </c>
      <c r="C66" s="23">
        <v>4.62</v>
      </c>
      <c r="D66" s="23">
        <v>4.9000000000000004</v>
      </c>
      <c r="E66" s="23">
        <v>1</v>
      </c>
      <c r="F66" s="23">
        <v>1</v>
      </c>
      <c r="G66" s="24">
        <v>0</v>
      </c>
      <c r="H66" s="25">
        <v>0</v>
      </c>
      <c r="I66" s="26">
        <v>0</v>
      </c>
      <c r="J66" s="27">
        <v>0</v>
      </c>
      <c r="K66" s="28">
        <v>0</v>
      </c>
      <c r="L66" s="29">
        <v>0</v>
      </c>
    </row>
    <row r="67" spans="1:12" ht="15" customHeight="1" x14ac:dyDescent="0.2">
      <c r="A67" s="22" t="s">
        <v>155</v>
      </c>
      <c r="B67" s="23" t="s">
        <v>156</v>
      </c>
      <c r="C67" s="23">
        <v>4.3899999999999997</v>
      </c>
      <c r="D67" s="23">
        <v>10</v>
      </c>
      <c r="E67" s="23">
        <v>3</v>
      </c>
      <c r="F67" s="23">
        <v>1</v>
      </c>
      <c r="G67" s="24">
        <v>292</v>
      </c>
      <c r="H67" s="25">
        <v>15</v>
      </c>
      <c r="I67" s="26">
        <v>7</v>
      </c>
      <c r="J67" s="27">
        <v>10</v>
      </c>
      <c r="K67" s="28">
        <v>8</v>
      </c>
      <c r="L67" s="29">
        <v>40</v>
      </c>
    </row>
    <row r="68" spans="1:12" ht="15" customHeight="1" x14ac:dyDescent="0.2">
      <c r="A68" s="22" t="s">
        <v>157</v>
      </c>
      <c r="B68" s="23" t="s">
        <v>158</v>
      </c>
      <c r="C68" s="23">
        <v>4.34</v>
      </c>
      <c r="D68" s="23">
        <v>5.0999999999999996</v>
      </c>
      <c r="E68" s="23">
        <v>2</v>
      </c>
      <c r="F68" s="23">
        <v>1</v>
      </c>
      <c r="G68" s="24">
        <v>15265</v>
      </c>
      <c r="H68" s="25">
        <v>911</v>
      </c>
      <c r="I68" s="26">
        <v>825</v>
      </c>
      <c r="J68" s="27">
        <v>1457</v>
      </c>
      <c r="K68" s="28">
        <v>916</v>
      </c>
      <c r="L68" s="29">
        <v>4109</v>
      </c>
    </row>
    <row r="69" spans="1:12" ht="15" customHeight="1" x14ac:dyDescent="0.2">
      <c r="A69" s="22" t="s">
        <v>159</v>
      </c>
      <c r="B69" s="23" t="s">
        <v>160</v>
      </c>
      <c r="C69" s="23">
        <v>4.18</v>
      </c>
      <c r="D69" s="23">
        <v>4.9000000000000004</v>
      </c>
      <c r="E69" s="23">
        <v>3</v>
      </c>
      <c r="F69" s="23">
        <v>1</v>
      </c>
      <c r="G69" s="24">
        <v>10017</v>
      </c>
      <c r="H69" s="25">
        <v>1289</v>
      </c>
      <c r="I69" s="26">
        <v>790</v>
      </c>
      <c r="J69" s="27">
        <v>1078</v>
      </c>
      <c r="K69" s="28">
        <v>399</v>
      </c>
      <c r="L69" s="29">
        <v>3556</v>
      </c>
    </row>
    <row r="70" spans="1:12" ht="15" customHeight="1" x14ac:dyDescent="0.2">
      <c r="A70" s="22" t="s">
        <v>161</v>
      </c>
      <c r="B70" s="23" t="s">
        <v>162</v>
      </c>
      <c r="C70" s="23">
        <v>3.86</v>
      </c>
      <c r="D70" s="23">
        <v>4.4000000000000004</v>
      </c>
      <c r="E70" s="23">
        <v>2</v>
      </c>
      <c r="F70" s="23">
        <v>1</v>
      </c>
      <c r="G70" s="24">
        <v>10557</v>
      </c>
      <c r="H70" s="25">
        <v>270</v>
      </c>
      <c r="I70" s="26">
        <v>577</v>
      </c>
      <c r="J70" s="27">
        <v>362</v>
      </c>
      <c r="K70" s="28">
        <v>133</v>
      </c>
      <c r="L70" s="29">
        <v>1342</v>
      </c>
    </row>
    <row r="71" spans="1:12" ht="15" customHeight="1" x14ac:dyDescent="0.2">
      <c r="A71" s="22" t="s">
        <v>163</v>
      </c>
      <c r="B71" s="23" t="s">
        <v>164</v>
      </c>
      <c r="C71" s="23">
        <v>3.68</v>
      </c>
      <c r="D71" s="23">
        <v>10</v>
      </c>
      <c r="E71" s="23">
        <v>2</v>
      </c>
      <c r="F71" s="23">
        <v>1</v>
      </c>
      <c r="G71" s="24">
        <v>1129</v>
      </c>
      <c r="H71" s="25">
        <v>6</v>
      </c>
      <c r="I71" s="26">
        <v>37</v>
      </c>
      <c r="J71" s="27">
        <v>59</v>
      </c>
      <c r="K71" s="28">
        <v>76</v>
      </c>
      <c r="L71" s="29">
        <v>178</v>
      </c>
    </row>
    <row r="72" spans="1:12" ht="15" customHeight="1" x14ac:dyDescent="0.2">
      <c r="A72" s="22" t="s">
        <v>165</v>
      </c>
      <c r="B72" s="23" t="s">
        <v>166</v>
      </c>
      <c r="C72" s="23">
        <v>3.64</v>
      </c>
      <c r="D72" s="23">
        <v>11.2</v>
      </c>
      <c r="E72" s="23">
        <v>2</v>
      </c>
      <c r="F72" s="23">
        <v>1</v>
      </c>
      <c r="G72" s="24">
        <v>869</v>
      </c>
      <c r="H72" s="25">
        <v>74</v>
      </c>
      <c r="I72" s="26">
        <v>106</v>
      </c>
      <c r="J72" s="27">
        <v>58</v>
      </c>
      <c r="K72" s="28">
        <v>48</v>
      </c>
      <c r="L72" s="29">
        <v>286</v>
      </c>
    </row>
    <row r="73" spans="1:12" ht="15" customHeight="1" x14ac:dyDescent="0.2">
      <c r="A73" s="22" t="s">
        <v>167</v>
      </c>
      <c r="B73" s="23" t="s">
        <v>168</v>
      </c>
      <c r="C73" s="23">
        <v>3.61</v>
      </c>
      <c r="D73" s="23">
        <v>11.2</v>
      </c>
      <c r="E73" s="23">
        <v>2</v>
      </c>
      <c r="F73" s="23">
        <v>1</v>
      </c>
      <c r="G73" s="24">
        <v>873</v>
      </c>
      <c r="H73" s="25">
        <v>12</v>
      </c>
      <c r="I73" s="26">
        <v>111</v>
      </c>
      <c r="J73" s="27">
        <v>50</v>
      </c>
      <c r="K73" s="28">
        <v>52</v>
      </c>
      <c r="L73" s="29">
        <v>225</v>
      </c>
    </row>
    <row r="74" spans="1:12" ht="15" customHeight="1" x14ac:dyDescent="0.2">
      <c r="A74" s="22" t="s">
        <v>169</v>
      </c>
      <c r="B74" s="23" t="s">
        <v>170</v>
      </c>
      <c r="C74" s="23">
        <v>3.48</v>
      </c>
      <c r="D74" s="23">
        <v>4.7</v>
      </c>
      <c r="E74" s="23">
        <v>2</v>
      </c>
      <c r="F74" s="23">
        <v>1</v>
      </c>
      <c r="G74" s="24">
        <v>11518</v>
      </c>
      <c r="H74" s="25">
        <v>733</v>
      </c>
      <c r="I74" s="26">
        <v>237</v>
      </c>
      <c r="J74" s="27">
        <v>286</v>
      </c>
      <c r="K74" s="28">
        <v>815</v>
      </c>
      <c r="L74" s="29">
        <v>2071</v>
      </c>
    </row>
    <row r="75" spans="1:12" ht="15" customHeight="1" x14ac:dyDescent="0.2">
      <c r="A75" s="22" t="s">
        <v>171</v>
      </c>
      <c r="B75" s="23" t="s">
        <v>172</v>
      </c>
      <c r="C75" s="23">
        <v>2.0699999999999998</v>
      </c>
      <c r="D75" s="23">
        <v>4.9000000000000004</v>
      </c>
      <c r="E75" s="23">
        <v>2</v>
      </c>
      <c r="F75" s="23">
        <v>1</v>
      </c>
      <c r="G75" s="24">
        <v>0</v>
      </c>
      <c r="H75" s="25">
        <v>0</v>
      </c>
      <c r="I75" s="26">
        <v>0</v>
      </c>
      <c r="J75" s="27">
        <v>0</v>
      </c>
      <c r="K75" s="28">
        <v>0</v>
      </c>
      <c r="L75" s="29">
        <v>0</v>
      </c>
    </row>
    <row r="76" spans="1:12" ht="15" customHeight="1" x14ac:dyDescent="0.2">
      <c r="A76" s="22" t="s">
        <v>173</v>
      </c>
      <c r="B76" s="23" t="s">
        <v>174</v>
      </c>
      <c r="C76" s="23">
        <v>1.24</v>
      </c>
      <c r="D76" s="23">
        <v>4.3</v>
      </c>
      <c r="E76" s="23">
        <v>1</v>
      </c>
      <c r="F76" s="23">
        <v>1</v>
      </c>
      <c r="G76" s="24">
        <v>3586</v>
      </c>
      <c r="H76" s="25">
        <v>146</v>
      </c>
      <c r="I76" s="26">
        <v>468</v>
      </c>
      <c r="J76" s="27">
        <v>358</v>
      </c>
      <c r="K76" s="28">
        <v>154</v>
      </c>
      <c r="L76" s="29">
        <v>1126</v>
      </c>
    </row>
    <row r="77" spans="1:12" ht="15" customHeight="1" x14ac:dyDescent="0.2">
      <c r="A77" s="22" t="s">
        <v>175</v>
      </c>
      <c r="B77" s="23" t="s">
        <v>176</v>
      </c>
      <c r="C77" s="23">
        <v>1.1100000000000001</v>
      </c>
      <c r="D77" s="23">
        <v>10</v>
      </c>
      <c r="E77" s="23">
        <v>2</v>
      </c>
      <c r="F77" s="23">
        <v>1</v>
      </c>
      <c r="G77" s="24">
        <v>0</v>
      </c>
      <c r="H77" s="25">
        <v>0</v>
      </c>
      <c r="I77" s="26">
        <v>0</v>
      </c>
      <c r="J77" s="27">
        <v>0</v>
      </c>
      <c r="K77" s="28">
        <v>0</v>
      </c>
      <c r="L77" s="29">
        <v>0</v>
      </c>
    </row>
    <row r="78" spans="1:12" ht="15" customHeight="1" x14ac:dyDescent="0.2">
      <c r="A78" s="22" t="s">
        <v>177</v>
      </c>
      <c r="B78" s="23" t="s">
        <v>178</v>
      </c>
      <c r="C78" s="23">
        <v>0.92</v>
      </c>
      <c r="D78" s="23">
        <v>10</v>
      </c>
      <c r="E78" s="23">
        <v>2</v>
      </c>
      <c r="F78" s="23">
        <v>1</v>
      </c>
      <c r="G78" s="24">
        <v>0</v>
      </c>
      <c r="H78" s="25">
        <v>0</v>
      </c>
      <c r="I78" s="26">
        <v>0</v>
      </c>
      <c r="J78" s="27">
        <v>0</v>
      </c>
      <c r="K78" s="28">
        <v>0</v>
      </c>
      <c r="L78" s="29">
        <v>0</v>
      </c>
    </row>
    <row r="79" spans="1:12" ht="15" customHeight="1" x14ac:dyDescent="0.2">
      <c r="A79" s="22" t="s">
        <v>179</v>
      </c>
      <c r="B79" s="23" t="s">
        <v>180</v>
      </c>
      <c r="C79" s="23">
        <v>0.56000000000000005</v>
      </c>
      <c r="D79" s="23">
        <v>10</v>
      </c>
      <c r="E79" s="23">
        <v>3</v>
      </c>
      <c r="F79" s="23">
        <v>1</v>
      </c>
      <c r="G79" s="24">
        <v>0</v>
      </c>
      <c r="H79" s="25">
        <v>0</v>
      </c>
      <c r="I79" s="26">
        <v>0</v>
      </c>
      <c r="J79" s="27">
        <v>0</v>
      </c>
      <c r="K79" s="28">
        <v>0</v>
      </c>
      <c r="L79" s="29">
        <v>0</v>
      </c>
    </row>
    <row r="80" spans="1:12" ht="15" customHeight="1" x14ac:dyDescent="0.2">
      <c r="A80" s="22" t="s">
        <v>181</v>
      </c>
      <c r="B80" s="23" t="s">
        <v>182</v>
      </c>
      <c r="C80" s="23">
        <v>0.55000000000000004</v>
      </c>
      <c r="D80" s="23">
        <v>4.5</v>
      </c>
      <c r="E80" s="23">
        <v>3</v>
      </c>
      <c r="F80" s="23">
        <v>1</v>
      </c>
      <c r="G80" s="24">
        <v>0</v>
      </c>
      <c r="H80" s="25">
        <v>0</v>
      </c>
      <c r="I80" s="26">
        <v>0</v>
      </c>
      <c r="J80" s="27">
        <v>0</v>
      </c>
      <c r="K80" s="28">
        <v>0</v>
      </c>
      <c r="L80" s="29">
        <v>0</v>
      </c>
    </row>
    <row r="81" spans="1:12" ht="15" customHeight="1" x14ac:dyDescent="0.2">
      <c r="A81" s="22" t="s">
        <v>183</v>
      </c>
      <c r="B81" s="23" t="s">
        <v>184</v>
      </c>
      <c r="C81" s="23">
        <v>0</v>
      </c>
      <c r="D81" s="23">
        <v>6.1</v>
      </c>
      <c r="E81" s="23">
        <v>2</v>
      </c>
      <c r="F81" s="23">
        <v>1</v>
      </c>
      <c r="G81" s="24">
        <v>0</v>
      </c>
      <c r="H81" s="25">
        <v>0</v>
      </c>
      <c r="I81" s="26">
        <v>0</v>
      </c>
      <c r="J81" s="27">
        <v>0</v>
      </c>
      <c r="K81" s="28">
        <v>0</v>
      </c>
      <c r="L81" s="29">
        <v>0</v>
      </c>
    </row>
    <row r="82" spans="1:12" ht="15" customHeight="1" x14ac:dyDescent="0.2">
      <c r="A82" s="15" t="s">
        <v>185</v>
      </c>
      <c r="B82" s="16" t="s">
        <v>186</v>
      </c>
      <c r="C82" s="35">
        <f>_xlfn.XLOOKUP('2016 Ihlamur'!A82,Veri_Skor!A:A,Veri_Skor!S:S,"-",0)</f>
        <v>5.0000000000000009</v>
      </c>
      <c r="D82" s="36">
        <v>4.5999999999999996</v>
      </c>
      <c r="E82" s="36">
        <v>2</v>
      </c>
      <c r="F82" s="36">
        <v>1</v>
      </c>
      <c r="G82" s="24">
        <v>1</v>
      </c>
      <c r="H82" s="25"/>
      <c r="I82" s="26"/>
      <c r="J82" s="27"/>
      <c r="K82" s="28"/>
      <c r="L82" s="29">
        <v>0</v>
      </c>
    </row>
    <row r="83" spans="1:12" ht="15" customHeight="1" x14ac:dyDescent="0.2">
      <c r="A83" s="15" t="s">
        <v>188</v>
      </c>
      <c r="B83" s="16" t="s">
        <v>189</v>
      </c>
      <c r="C83" s="35">
        <f>_xlfn.XLOOKUP('2016 Ihlamur'!A83,Veri_Skor!A:A,Veri_Skor!S:S,"-",0)</f>
        <v>5.0000000000000009</v>
      </c>
      <c r="D83" s="36">
        <v>4.5999999999999996</v>
      </c>
      <c r="E83" s="36">
        <v>2</v>
      </c>
      <c r="F83" s="36">
        <v>1</v>
      </c>
      <c r="G83" s="24">
        <v>1</v>
      </c>
      <c r="H83" s="25"/>
      <c r="I83" s="26"/>
      <c r="J83" s="27"/>
      <c r="K83" s="28"/>
      <c r="L83" s="29">
        <v>0</v>
      </c>
    </row>
    <row r="84" spans="1:12" ht="15" customHeight="1" x14ac:dyDescent="0.2">
      <c r="B84" s="30" t="s">
        <v>6</v>
      </c>
      <c r="G84" s="31">
        <f t="shared" ref="G84:L84" si="0">SUM(F3:F81)</f>
        <v>79</v>
      </c>
      <c r="H84" s="31">
        <f t="shared" si="0"/>
        <v>2656547</v>
      </c>
      <c r="I84" s="31">
        <f t="shared" si="0"/>
        <v>137407</v>
      </c>
      <c r="J84" s="31">
        <f t="shared" si="0"/>
        <v>143076</v>
      </c>
      <c r="K84" s="31">
        <f t="shared" si="0"/>
        <v>147306</v>
      </c>
      <c r="L84" s="31">
        <f t="shared" si="0"/>
        <v>163715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22" customWidth="1"/>
    <col min="2" max="2" width="8" customWidth="1"/>
    <col min="3" max="6" width="14" customWidth="1"/>
    <col min="7" max="7" width="16" customWidth="1"/>
  </cols>
  <sheetData>
    <row r="1" spans="1:7" ht="30" customHeight="1" x14ac:dyDescent="0.2">
      <c r="A1" s="38" t="s">
        <v>196</v>
      </c>
      <c r="B1" s="38"/>
      <c r="C1" s="38"/>
      <c r="D1" s="38"/>
      <c r="E1" s="38"/>
      <c r="F1" s="38"/>
      <c r="G1" s="38"/>
    </row>
    <row r="2" spans="1:7" ht="15" customHeight="1" x14ac:dyDescent="0.2">
      <c r="A2" s="20" t="s">
        <v>197</v>
      </c>
      <c r="B2" s="20" t="s">
        <v>198</v>
      </c>
      <c r="C2" s="20" t="s">
        <v>191</v>
      </c>
      <c r="D2" s="20" t="s">
        <v>192</v>
      </c>
      <c r="E2" s="20" t="s">
        <v>193</v>
      </c>
      <c r="F2" s="20" t="s">
        <v>194</v>
      </c>
      <c r="G2" s="20" t="s">
        <v>6</v>
      </c>
    </row>
    <row r="3" spans="1:7" ht="15" customHeight="1" x14ac:dyDescent="0.2">
      <c r="A3" s="32" t="s">
        <v>199</v>
      </c>
      <c r="B3" s="23">
        <v>2016</v>
      </c>
      <c r="C3" s="25">
        <v>143199</v>
      </c>
      <c r="D3" s="26">
        <v>127130</v>
      </c>
      <c r="E3" s="27">
        <v>133222</v>
      </c>
      <c r="F3" s="28">
        <v>133126</v>
      </c>
      <c r="G3" s="33">
        <v>536677</v>
      </c>
    </row>
    <row r="4" spans="1:7" ht="15" customHeight="1" x14ac:dyDescent="0.2">
      <c r="A4" s="32" t="s">
        <v>200</v>
      </c>
      <c r="B4" s="23">
        <v>4161</v>
      </c>
      <c r="C4" s="25">
        <v>131319</v>
      </c>
      <c r="D4" s="26">
        <v>116637</v>
      </c>
      <c r="E4" s="27">
        <v>122136</v>
      </c>
      <c r="F4" s="28">
        <v>140712</v>
      </c>
      <c r="G4" s="33">
        <v>510804</v>
      </c>
    </row>
    <row r="5" spans="1:7" ht="15" customHeight="1" x14ac:dyDescent="0.2">
      <c r="A5" s="32" t="s">
        <v>201</v>
      </c>
      <c r="B5" s="23">
        <v>6198</v>
      </c>
      <c r="C5" s="25">
        <v>120215</v>
      </c>
      <c r="D5" s="26">
        <v>138183</v>
      </c>
      <c r="E5" s="27">
        <v>133884</v>
      </c>
      <c r="F5" s="28">
        <v>122602</v>
      </c>
      <c r="G5" s="33">
        <v>514884</v>
      </c>
    </row>
    <row r="6" spans="1:7" ht="15" customHeight="1" x14ac:dyDescent="0.2">
      <c r="A6" s="32" t="s">
        <v>202</v>
      </c>
      <c r="B6" s="23">
        <v>6203</v>
      </c>
      <c r="C6" s="25">
        <v>114340</v>
      </c>
      <c r="D6" s="26">
        <v>133203</v>
      </c>
      <c r="E6" s="27">
        <v>121140</v>
      </c>
      <c r="F6" s="28">
        <v>133995</v>
      </c>
      <c r="G6" s="33">
        <v>502678</v>
      </c>
    </row>
    <row r="7" spans="1:7" ht="15" customHeight="1" x14ac:dyDescent="0.2">
      <c r="A7" s="32" t="s">
        <v>203</v>
      </c>
      <c r="B7" s="23">
        <v>6240</v>
      </c>
      <c r="C7" s="25">
        <v>137407</v>
      </c>
      <c r="D7" s="26">
        <v>143076</v>
      </c>
      <c r="E7" s="27">
        <v>147306</v>
      </c>
      <c r="F7" s="28">
        <v>163715</v>
      </c>
      <c r="G7" s="33">
        <v>591504</v>
      </c>
    </row>
    <row r="8" spans="1:7" ht="15" customHeight="1" x14ac:dyDescent="0.2">
      <c r="A8" s="30" t="s">
        <v>204</v>
      </c>
      <c r="C8" s="31">
        <f>SUM(C3:C7)</f>
        <v>646480</v>
      </c>
      <c r="D8" s="31">
        <f>SUM(D3:D7)</f>
        <v>658229</v>
      </c>
      <c r="E8" s="31">
        <f>SUM(E3:E7)</f>
        <v>657688</v>
      </c>
      <c r="F8" s="31">
        <f>SUM(F3:F7)</f>
        <v>694150</v>
      </c>
      <c r="G8" s="31">
        <f>SUM(G3:G7)</f>
        <v>2656547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Veri_Skor</vt:lpstr>
      <vt:lpstr>DB</vt:lpstr>
      <vt:lpstr>2016 Ihlamur</vt:lpstr>
      <vt:lpstr>4161 Bulgurlu</vt:lpstr>
      <vt:lpstr>6198 Ataşehir Gümrük</vt:lpstr>
      <vt:lpstr>6203 Odayeri OHT</vt:lpstr>
      <vt:lpstr>6240 Acıbadem</vt:lpstr>
      <vt:lpstr>İstasyon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BERKE AKSOY</cp:lastModifiedBy>
  <cp:revision>0</cp:revision>
  <dcterms:created xsi:type="dcterms:W3CDTF">2026-06-02T05:57:19Z</dcterms:created>
  <dcterms:modified xsi:type="dcterms:W3CDTF">2026-06-14T09:30:46Z</dcterms:modified>
  <dc:language>en-US</dc:language>
</cp:coreProperties>
</file>